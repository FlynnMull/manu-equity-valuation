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Historical" sheetId="1" r:id="rId5"/>
    <sheet state="visible" name="03_Drivers" sheetId="2" r:id="rId6"/>
    <sheet state="visible" name="04_DCF_Model" sheetId="3" r:id="rId7"/>
    <sheet state="visible" name="05_WACC" sheetId="4" r:id="rId8"/>
    <sheet state="visible" name="06_Valuation" sheetId="5" r:id="rId9"/>
    <sheet state="visible" name="07_Summary" sheetId="6" r:id="rId10"/>
  </sheets>
  <definedNames/>
  <calcPr/>
</workbook>
</file>

<file path=xl/sharedStrings.xml><?xml version="1.0" encoding="utf-8"?>
<sst xmlns="http://schemas.openxmlformats.org/spreadsheetml/2006/main" count="153" uniqueCount="132">
  <si>
    <t>Line Item</t>
  </si>
  <si>
    <t>Risk- Free Rate</t>
  </si>
  <si>
    <t>FY26E</t>
  </si>
  <si>
    <t>FY27E</t>
  </si>
  <si>
    <t>FY28E</t>
  </si>
  <si>
    <t>FY29E</t>
  </si>
  <si>
    <t>FY30E</t>
  </si>
  <si>
    <t>Sponsorship</t>
  </si>
  <si>
    <t>FY23</t>
  </si>
  <si>
    <t>FY24</t>
  </si>
  <si>
    <t>Metric</t>
  </si>
  <si>
    <t>FY25</t>
  </si>
  <si>
    <t>FY26</t>
  </si>
  <si>
    <t>FY27</t>
  </si>
  <si>
    <t>FY28</t>
  </si>
  <si>
    <t>FY29</t>
  </si>
  <si>
    <t>FY30</t>
  </si>
  <si>
    <t>Sponsorship Growth (%)</t>
  </si>
  <si>
    <t xml:space="preserve">Equity RIsk Premium </t>
  </si>
  <si>
    <t>Peer Unlevered Beta</t>
  </si>
  <si>
    <t>Target Debt-to-Equity</t>
  </si>
  <si>
    <t>Marginal Tax Rate</t>
  </si>
  <si>
    <t>Retail, Merchandising, Apparel &amp; Licensing</t>
  </si>
  <si>
    <t>Re-levered Beta</t>
  </si>
  <si>
    <t>Adidas Non-UCL Penalty (£'000s)</t>
  </si>
  <si>
    <t>Total Commercial Revenue</t>
  </si>
  <si>
    <t>Retail/Merch Organic Growth (%)</t>
  </si>
  <si>
    <t>Broadcasting Scenario Target (£'000s)</t>
  </si>
  <si>
    <t>Matchday Target Scenario (£'000s)</t>
  </si>
  <si>
    <t>Wage-to-Revenue Ratio Target (%)</t>
  </si>
  <si>
    <t>Broadcasting Revenue</t>
  </si>
  <si>
    <t>Other OpEx Margin (% of Rev)</t>
  </si>
  <si>
    <t>Cost of Equity</t>
  </si>
  <si>
    <t>Depreciation Target (£'000s)</t>
  </si>
  <si>
    <t>Matchday Revenue</t>
  </si>
  <si>
    <t>Player Amortisation Target (£'000s)</t>
  </si>
  <si>
    <t>Total Revenue</t>
  </si>
  <si>
    <t>Net Intangible CapEx (£'000s)</t>
  </si>
  <si>
    <t>Tangible CapEx (£'000s)</t>
  </si>
  <si>
    <t>Net Working Capital Change (£'000s)</t>
  </si>
  <si>
    <t>Cost of Debt (Pre-Tax)</t>
  </si>
  <si>
    <t>Employee Benefit Expenses</t>
  </si>
  <si>
    <t>Cost of Debt (After-Tax)</t>
  </si>
  <si>
    <t>Other Operating Expenses</t>
  </si>
  <si>
    <t>Depreciation &amp; Impairment</t>
  </si>
  <si>
    <t>Amortisation (Player Registrations)</t>
  </si>
  <si>
    <t>Weight of Equity</t>
  </si>
  <si>
    <t>Exceptional Items</t>
  </si>
  <si>
    <t>Total Operating Expenses</t>
  </si>
  <si>
    <t>Retail, Merchandising &amp; Licensing</t>
  </si>
  <si>
    <t>Profit / (Loss) on Disposal of Intangibles</t>
  </si>
  <si>
    <t>Operating Profit / (Loss) [EBIT]</t>
  </si>
  <si>
    <t>Finance Costs</t>
  </si>
  <si>
    <t>Finance Income</t>
  </si>
  <si>
    <t>Weight of Debt</t>
  </si>
  <si>
    <t>Net Finance Costs</t>
  </si>
  <si>
    <t>Weighted Average Cost of Capital</t>
  </si>
  <si>
    <t>Profit / (Loss) Before Tax</t>
  </si>
  <si>
    <t>Income Tax Credit / (Expense)</t>
  </si>
  <si>
    <t>Net Profit / (Loss) for the Year</t>
  </si>
  <si>
    <t>Cash Generated from Operations</t>
  </si>
  <si>
    <t>Net Cash Inflow from Operating Activities</t>
  </si>
  <si>
    <t>Tangible CapEx (PPE Payments)</t>
  </si>
  <si>
    <t>Intangible CapEx (Payments for Registrations)</t>
  </si>
  <si>
    <t>Proceeds from Sale of Registrations</t>
  </si>
  <si>
    <t>Net Player Intangible CapEx</t>
  </si>
  <si>
    <t>Cash &amp; Cash Equivalents (Year-End)</t>
  </si>
  <si>
    <t>Senior Secured Notes</t>
  </si>
  <si>
    <t>Secured Term Loan</t>
  </si>
  <si>
    <t>Revolving Credit Facilities (Drawn)</t>
  </si>
  <si>
    <t>Total Gross Financial Debt</t>
  </si>
  <si>
    <t>Net Financial Debt</t>
  </si>
  <si>
    <t>YoY Total Revenue Growth</t>
  </si>
  <si>
    <t>-%</t>
  </si>
  <si>
    <t>% Commerical Revenue</t>
  </si>
  <si>
    <t>% Broadcasting Revenue</t>
  </si>
  <si>
    <t>% Matchday Revenue</t>
  </si>
  <si>
    <t>Wage-to-Revenue Ratio</t>
  </si>
  <si>
    <t>Unlevered Free Cash Flow</t>
  </si>
  <si>
    <t>Adjusted EBITDA</t>
  </si>
  <si>
    <t>Time Period</t>
  </si>
  <si>
    <t>Mid-Year Discount Factor</t>
  </si>
  <si>
    <t>Taxes on EBIT (25%)</t>
  </si>
  <si>
    <t>NOPAT</t>
  </si>
  <si>
    <t>Present Value of UFCF</t>
  </si>
  <si>
    <t>Plus: D&amp;A (Addback)</t>
  </si>
  <si>
    <t>Less: Tangible PPE &amp; CapEx</t>
  </si>
  <si>
    <t>Less: Net Player Intangible CapEx</t>
  </si>
  <si>
    <t>Cumulative PV of UFCFs</t>
  </si>
  <si>
    <t>Less: Change in NWC</t>
  </si>
  <si>
    <t>Perpetuity Growth Rate</t>
  </si>
  <si>
    <t>Terminal Year Normalised UFCF</t>
  </si>
  <si>
    <t>TV (Gordon Growth)</t>
  </si>
  <si>
    <t>PV OF TV (Gordon Growth)</t>
  </si>
  <si>
    <t>Exit Multiple (EV / EBITDA)</t>
  </si>
  <si>
    <t>Exchange / Ticker</t>
  </si>
  <si>
    <t>NYSE / MANU</t>
  </si>
  <si>
    <t>Rating</t>
  </si>
  <si>
    <t>Underweight / Hold</t>
  </si>
  <si>
    <t>Current Share Price</t>
  </si>
  <si>
    <t>12-Month Target Price</t>
  </si>
  <si>
    <t>TV (Exit Multiple)</t>
  </si>
  <si>
    <t>Implied Return</t>
  </si>
  <si>
    <t>Valuation Methodology</t>
  </si>
  <si>
    <t>Min Price ($)</t>
  </si>
  <si>
    <t>Target / Midpoint ($)</t>
  </si>
  <si>
    <t>Max Price ($)</t>
  </si>
  <si>
    <t>Implied Upside / (Downside) %</t>
  </si>
  <si>
    <t>52-Week Trading Range</t>
  </si>
  <si>
    <t>DCF Intrinsic Floor (Gordon Growth)</t>
  </si>
  <si>
    <t>PV of TV (Exit Multiple)</t>
  </si>
  <si>
    <t>Enterprise Value (EV)</t>
  </si>
  <si>
    <t>Less: Total Gross Debt</t>
  </si>
  <si>
    <t>Plus: Cash &amp; Cash Equivalents</t>
  </si>
  <si>
    <t>Implied Equity Value (£'000s)</t>
  </si>
  <si>
    <t>DCF Operating Base Case (Exit Multiple)</t>
  </si>
  <si>
    <t xml:space="preserve">Class A Shares Outstanding </t>
  </si>
  <si>
    <t>Less: Treasury Shares</t>
  </si>
  <si>
    <t>Class B Shares Outstanding</t>
  </si>
  <si>
    <t>Total Diluted Shares</t>
  </si>
  <si>
    <t>Implied Share Price (GBP)</t>
  </si>
  <si>
    <t>Exchange Rate (USD / GBP)</t>
  </si>
  <si>
    <t>Implied Share Price (USD)</t>
  </si>
  <si>
    <t>Public Trading Comparables (EV/EBITDA)</t>
  </si>
  <si>
    <t>Current Share Price (USD)</t>
  </si>
  <si>
    <t>Implied Upside / (Downside)</t>
  </si>
  <si>
    <t>Public Trading Comparables (EV/Sales)</t>
  </si>
  <si>
    <t>Precedent Transaction (INEOS Deal)</t>
  </si>
  <si>
    <t>Current Market Price Reference</t>
  </si>
  <si>
    <r>
      <rPr>
        <rFont val="Arial"/>
        <b/>
        <color theme="1"/>
      </rPr>
      <t>Operational Reality vs. Multiple Expansion:</t>
    </r>
    <r>
      <rPr>
        <rFont val="Arial"/>
        <color theme="1"/>
      </rPr>
      <t xml:space="preserve"> Manchester United's fundamental cash generation remains highly constrained by the capital intensity required to compete at the highest level of European football. While INEOS-led initiatives to rationalise the wage bill (targeting 45.0% of revenue by FY30E) and protections embedded in the Adidas extension provide a path for Adjusted EBITDA to expand toward £255M, free cash flow conversion is dampened by recurring player amortisation (£190M run-rate) and substantial net transfer CapEx (£140M p.a.). The pure operating yield of the club simply does not support current market valuations.</t>
    </r>
  </si>
  <si>
    <r>
      <rPr>
        <rFont val="Arial"/>
        <b/>
        <color theme="1"/>
      </rPr>
      <t>The Public vs. Private Disconnect:</t>
    </r>
    <r>
      <rPr>
        <rFont val="Arial"/>
        <color theme="1"/>
      </rPr>
      <t xml:space="preserve"> A fundamental Unlevered DCF yields a base case of $4.18 per share (Gordon Growth) and $14. per share (12.5x Exit Multiple). Yet, the stock trades at $20.90, supported by the precedent $33.00 per share paid by Sir Jim Ratcliffe / INEOS for a 28.9% stake. This massive divergence highlights the "trophy asset" premium and global scarcity value assigned to premier sports franchises in private markets, completely decoupling the stock's trading level from traditional institutional cash-flow metrics. The stock currently behaves more as a proxy for future control-premium buyouts than a yield-generating equity.</t>
    </r>
  </si>
  <si>
    <r>
      <rPr>
        <rFont val="Arial"/>
        <b/>
        <color theme="1"/>
      </rPr>
      <t>Key Catalysts &amp; Downside Risks:</t>
    </r>
    <r>
      <rPr>
        <rFont val="Arial"/>
        <color theme="1"/>
      </rPr>
      <t xml:space="preserve"> Near-term cash flow is heavily tethered to European qualification. Returning to the UEFA Champions League under the expanded 36-team Swiss model by FY28E is critical to lifting broadcasting revenues beyond £230M and avoiding ongoing £10M penalty deductions on the Adidas contract. Furthermore, a major downside risk to free cash flow remains the Old Trafford stadium infrastructure. Our model assumes baseline maintenance CapEx (£20M p.a.), but any full-scale stadium redevelopment or new build—absent external localized financing or municipal partnerships—would require hundreds of millions in fresh debt or equity, severely diluting future shareholder value.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</si>
</sst>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£* #,##0_);_(£* (#,##0);_(£* &quot;-&quot;_);_(@_)"/>
    <numFmt numFmtId="165" formatCode="0.000%"/>
    <numFmt numFmtId="166" formatCode="0.0%"/>
    <numFmt numFmtId="167" formatCode="[$$]#,##0.00"/>
    <numFmt numFmtId="168" formatCode="[$£-809]#,##0.00"/>
  </numFmts>
  <fonts count="12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sz val="11.0"/>
      <color rgb="FF0000FF"/>
      <name val="Arial"/>
      <scheme val="minor"/>
    </font>
    <font>
      <color theme="1"/>
      <name val="Arial"/>
      <scheme val="minor"/>
    </font>
    <font>
      <color rgb="FF008000"/>
      <name val="Arial"/>
      <scheme val="minor"/>
    </font>
    <font>
      <b/>
      <color rgb="FF0000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204E78"/>
        <bgColor rgb="FF204E78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D9E1F2"/>
        <bgColor rgb="FFD9E1F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6" numFmtId="10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4" fontId="7" numFmtId="10" xfId="0" applyAlignment="1" applyFill="1" applyFont="1" applyNumberFormat="1">
      <alignment readingOrder="0"/>
    </xf>
    <xf borderId="0" fillId="4" fontId="7" numFmtId="164" xfId="0" applyAlignment="1" applyFill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8" numFmtId="164" xfId="0" applyFont="1" applyNumberFormat="1"/>
    <xf borderId="0" fillId="0" fontId="8" numFmtId="10" xfId="0" applyFont="1" applyNumberFormat="1"/>
    <xf borderId="0" fillId="0" fontId="8" numFmtId="10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4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5" numFmtId="0" xfId="0" applyFont="1"/>
    <xf borderId="0" fillId="0" fontId="1" numFmtId="166" xfId="0" applyFont="1" applyNumberFormat="1"/>
    <xf borderId="0" fillId="0" fontId="1" numFmtId="166" xfId="0" applyAlignment="1" applyFont="1" applyNumberFormat="1">
      <alignment readingOrder="0"/>
    </xf>
    <xf borderId="0" fillId="0" fontId="9" numFmtId="164" xfId="0" applyFont="1" applyNumberFormat="1"/>
    <xf borderId="0" fillId="0" fontId="1" numFmtId="164" xfId="0" applyFont="1" applyNumberFormat="1"/>
    <xf borderId="0" fillId="0" fontId="4" numFmtId="0" xfId="0" applyFont="1"/>
    <xf borderId="1" fillId="0" fontId="5" numFmtId="0" xfId="0" applyBorder="1" applyFont="1"/>
    <xf borderId="1" fillId="0" fontId="10" numFmtId="10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8" numFmtId="167" xfId="0" applyBorder="1" applyFont="1" applyNumberFormat="1"/>
    <xf borderId="0" fillId="0" fontId="8" numFmtId="4" xfId="0" applyAlignment="1" applyFont="1" applyNumberFormat="1">
      <alignment readingOrder="0"/>
    </xf>
    <xf borderId="0" fillId="0" fontId="8" numFmtId="164" xfId="0" applyFont="1" applyNumberFormat="1"/>
    <xf borderId="1" fillId="0" fontId="8" numFmtId="0" xfId="0" applyBorder="1" applyFont="1"/>
    <xf borderId="0" fillId="0" fontId="9" numFmtId="164" xfId="0" applyFont="1" applyNumberFormat="1"/>
    <xf borderId="1" fillId="0" fontId="10" numFmtId="0" xfId="0" applyAlignment="1" applyBorder="1" applyFont="1">
      <alignment readingOrder="0"/>
    </xf>
    <xf borderId="1" fillId="5" fontId="5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1" fillId="0" fontId="8" numFmtId="167" xfId="0" applyBorder="1" applyFont="1" applyNumberFormat="1"/>
    <xf borderId="1" fillId="0" fontId="8" numFmtId="10" xfId="0" applyBorder="1" applyFont="1" applyNumberFormat="1"/>
    <xf borderId="1" fillId="2" fontId="2" numFmtId="0" xfId="0" applyAlignment="1" applyBorder="1" applyFill="1" applyFont="1">
      <alignment readingOrder="0"/>
    </xf>
    <xf borderId="1" fillId="3" fontId="5" numFmtId="0" xfId="0" applyAlignment="1" applyBorder="1" applyFill="1" applyFont="1">
      <alignment readingOrder="0"/>
    </xf>
    <xf borderId="1" fillId="0" fontId="6" numFmtId="167" xfId="0" applyAlignment="1" applyBorder="1" applyFont="1" applyNumberFormat="1">
      <alignment readingOrder="0"/>
    </xf>
    <xf borderId="1" fillId="0" fontId="8" numFmtId="166" xfId="0" applyBorder="1" applyFont="1" applyNumberFormat="1"/>
    <xf borderId="0" fillId="0" fontId="8" numFmtId="3" xfId="0" applyAlignment="1" applyFont="1" applyNumberFormat="1">
      <alignment readingOrder="0"/>
    </xf>
    <xf borderId="0" fillId="0" fontId="8" numFmtId="3" xfId="0" applyFont="1" applyNumberFormat="1"/>
    <xf borderId="0" fillId="0" fontId="8" numFmtId="168" xfId="0" applyFont="1" applyNumberFormat="1"/>
    <xf borderId="0" fillId="0" fontId="8" numFmtId="167" xfId="0" applyFont="1" applyNumberFormat="1"/>
    <xf borderId="0" fillId="0" fontId="8" numFmtId="167" xfId="0" applyAlignment="1" applyFont="1" applyNumberFormat="1">
      <alignment readingOrder="0"/>
    </xf>
    <xf borderId="1" fillId="0" fontId="8" numFmtId="166" xfId="0" applyAlignment="1" applyBorder="1" applyFont="1" applyNumberFormat="1">
      <alignment readingOrder="0"/>
    </xf>
    <xf borderId="2" fillId="0" fontId="8" numFmtId="0" xfId="0" applyAlignment="1" applyBorder="1" applyFont="1">
      <alignment readingOrder="0" shrinkToFit="0" wrapText="1"/>
    </xf>
    <xf borderId="3" fillId="0" fontId="11" numFmtId="0" xfId="0" applyBorder="1" applyFont="1"/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8" fillId="0" fontId="11" numFmtId="0" xfId="0" applyBorder="1" applyFont="1"/>
    <xf borderId="9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12.88"/>
    <col customWidth="1" min="3" max="3" width="14.0"/>
    <col customWidth="1" min="4" max="4" width="12.75"/>
  </cols>
  <sheetData>
    <row r="1">
      <c r="A1" s="3" t="s">
        <v>0</v>
      </c>
      <c r="B1" s="3" t="s">
        <v>8</v>
      </c>
      <c r="C1" s="3" t="s">
        <v>9</v>
      </c>
      <c r="D1" s="3" t="s">
        <v>11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7</v>
      </c>
      <c r="B2" s="8">
        <v>189500.0</v>
      </c>
      <c r="C2" s="8">
        <v>177800.0</v>
      </c>
      <c r="D2" s="8">
        <v>188400.0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22</v>
      </c>
      <c r="B3" s="8">
        <v>113400.0</v>
      </c>
      <c r="C3" s="8">
        <v>125076.0</v>
      </c>
      <c r="D3" s="8">
        <v>144874.0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25</v>
      </c>
      <c r="B4" s="11">
        <f t="shared" ref="B4:D4" si="1">SUM(B2:B3)</f>
        <v>302900</v>
      </c>
      <c r="C4" s="11">
        <f t="shared" si="1"/>
        <v>302876</v>
      </c>
      <c r="D4" s="11">
        <f t="shared" si="1"/>
        <v>333274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30</v>
      </c>
      <c r="B5" s="8">
        <v>209100.0</v>
      </c>
      <c r="C5" s="8">
        <v>221745.0</v>
      </c>
      <c r="D5" s="8">
        <v>172977.0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34</v>
      </c>
      <c r="B6" s="8">
        <v>136400.0</v>
      </c>
      <c r="C6" s="8">
        <v>137134.0</v>
      </c>
      <c r="D6" s="8">
        <v>160263.0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36</v>
      </c>
      <c r="B7" s="11">
        <f t="shared" ref="B7:D7" si="2">SUM(B4:B6)</f>
        <v>648400</v>
      </c>
      <c r="C7" s="11">
        <f t="shared" si="2"/>
        <v>661755</v>
      </c>
      <c r="D7" s="11">
        <f t="shared" si="2"/>
        <v>666514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41</v>
      </c>
      <c r="B8" s="8">
        <v>-331361.0</v>
      </c>
      <c r="C8" s="8">
        <v>-364719.0</v>
      </c>
      <c r="D8" s="8">
        <v>-313256.0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43</v>
      </c>
      <c r="B9" s="8">
        <v>-163892.0</v>
      </c>
      <c r="C9" s="8">
        <v>-149384.0</v>
      </c>
      <c r="D9" s="8">
        <v>-170429.0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44</v>
      </c>
      <c r="B10" s="8">
        <v>-14401.0</v>
      </c>
      <c r="C10" s="8">
        <v>-16526.0</v>
      </c>
      <c r="D10" s="8">
        <v>-17002.0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 t="s">
        <v>45</v>
      </c>
      <c r="B11" s="8">
        <v>-170050.0</v>
      </c>
      <c r="C11" s="8">
        <v>-190123.0</v>
      </c>
      <c r="D11" s="8">
        <v>-196373.0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47</v>
      </c>
      <c r="B12" s="8">
        <v>0.0</v>
      </c>
      <c r="C12" s="8">
        <v>-47778.0</v>
      </c>
      <c r="D12" s="8">
        <v>-36626.0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48</v>
      </c>
      <c r="B13" s="11">
        <f t="shared" ref="B13:D13" si="3">SUM(B8:B12)</f>
        <v>-679704</v>
      </c>
      <c r="C13" s="11">
        <f t="shared" si="3"/>
        <v>-768530</v>
      </c>
      <c r="D13" s="11">
        <f t="shared" si="3"/>
        <v>-733686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50</v>
      </c>
      <c r="B14" s="8">
        <v>20442.0</v>
      </c>
      <c r="C14" s="8">
        <v>37422.0</v>
      </c>
      <c r="D14" s="8">
        <v>48742.0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51</v>
      </c>
      <c r="B15" s="11">
        <f t="shared" ref="B15:D15" si="4">B7+B13+B14</f>
        <v>-10862</v>
      </c>
      <c r="C15" s="11">
        <f t="shared" si="4"/>
        <v>-69353</v>
      </c>
      <c r="D15" s="11">
        <f t="shared" si="4"/>
        <v>-18430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 t="s">
        <v>52</v>
      </c>
      <c r="B16" s="8">
        <v>-37869.0</v>
      </c>
      <c r="C16" s="8">
        <v>-63867.0</v>
      </c>
      <c r="D16" s="8">
        <v>-58988.0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53</v>
      </c>
      <c r="B17" s="8">
        <v>16140.0</v>
      </c>
      <c r="C17" s="8">
        <v>2496.0</v>
      </c>
      <c r="D17" s="8">
        <v>37754.0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55</v>
      </c>
      <c r="B18" s="11">
        <f t="shared" ref="B18:D18" si="5">B16+B17</f>
        <v>-21729</v>
      </c>
      <c r="C18" s="11">
        <f t="shared" si="5"/>
        <v>-61371</v>
      </c>
      <c r="D18" s="11">
        <f t="shared" si="5"/>
        <v>-21234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 t="s">
        <v>57</v>
      </c>
      <c r="B19" s="11">
        <f t="shared" ref="B19:D19" si="6">B15+B18</f>
        <v>-32591</v>
      </c>
      <c r="C19" s="11">
        <f t="shared" si="6"/>
        <v>-130724</v>
      </c>
      <c r="D19" s="11">
        <f t="shared" si="6"/>
        <v>-39664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 t="s">
        <v>58</v>
      </c>
      <c r="B20" s="8">
        <v>3905.0</v>
      </c>
      <c r="C20" s="8">
        <v>17565.0</v>
      </c>
      <c r="D20" s="8">
        <v>6641.0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 t="s">
        <v>59</v>
      </c>
      <c r="B21" s="11">
        <f t="shared" ref="B21:D21" si="7">B19+B20</f>
        <v>-28686</v>
      </c>
      <c r="C21" s="11">
        <f t="shared" si="7"/>
        <v>-113159</v>
      </c>
      <c r="D21" s="11">
        <f t="shared" si="7"/>
        <v>-33023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/>
      <c r="B22" s="11"/>
      <c r="C22" s="11"/>
      <c r="D22" s="1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0</v>
      </c>
      <c r="B23" s="3" t="s">
        <v>8</v>
      </c>
      <c r="C23" s="3" t="s">
        <v>9</v>
      </c>
      <c r="D23" s="3" t="s">
        <v>11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" t="s">
        <v>60</v>
      </c>
      <c r="B24" s="8">
        <v>128900.0</v>
      </c>
      <c r="C24" s="8">
        <v>117500.0</v>
      </c>
      <c r="D24" s="8">
        <v>107500.0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" t="s">
        <v>61</v>
      </c>
      <c r="B25" s="8">
        <v>104100.0</v>
      </c>
      <c r="C25" s="8">
        <v>85700.0</v>
      </c>
      <c r="D25" s="8">
        <v>72700.0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 t="s">
        <v>62</v>
      </c>
      <c r="B26" s="8">
        <v>-21600.0</v>
      </c>
      <c r="C26" s="8">
        <v>-17500.0</v>
      </c>
      <c r="D26" s="8">
        <v>-44700.0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" t="s">
        <v>63</v>
      </c>
      <c r="B27" s="8">
        <v>-156200.0</v>
      </c>
      <c r="C27" s="8">
        <v>-190700.0</v>
      </c>
      <c r="D27" s="8">
        <v>-278800.0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 t="s">
        <v>64</v>
      </c>
      <c r="B28" s="8">
        <v>37500.0</v>
      </c>
      <c r="C28" s="8">
        <v>37000.0</v>
      </c>
      <c r="D28" s="8">
        <v>48800.0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 t="s">
        <v>65</v>
      </c>
      <c r="B29" s="11">
        <f t="shared" ref="B29:D29" si="8">B27+B28</f>
        <v>-118700</v>
      </c>
      <c r="C29" s="11">
        <f t="shared" si="8"/>
        <v>-153700</v>
      </c>
      <c r="D29" s="11">
        <f t="shared" si="8"/>
        <v>-230000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 t="s">
        <v>66</v>
      </c>
      <c r="B30" s="8">
        <v>76019.0</v>
      </c>
      <c r="C30" s="8">
        <v>73549.0</v>
      </c>
      <c r="D30" s="8">
        <v>86105.0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 t="s">
        <v>67</v>
      </c>
      <c r="B31" s="8">
        <v>-332112.0</v>
      </c>
      <c r="C31" s="8">
        <v>-334538.0</v>
      </c>
      <c r="D31" s="8">
        <v>-308914.0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 t="s">
        <v>68</v>
      </c>
      <c r="B32" s="8">
        <v>-175223.0</v>
      </c>
      <c r="C32" s="8">
        <v>-176509.0</v>
      </c>
      <c r="D32" s="8">
        <v>-162941.0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" t="s">
        <v>69</v>
      </c>
      <c r="B33" s="8">
        <v>-100000.0</v>
      </c>
      <c r="C33" s="8">
        <v>-30000.0</v>
      </c>
      <c r="D33" s="8">
        <v>-160000.0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" t="s">
        <v>70</v>
      </c>
      <c r="B34" s="11">
        <f t="shared" ref="B34:D34" si="9">SUM(B31:B33)</f>
        <v>-607335</v>
      </c>
      <c r="C34" s="11">
        <f t="shared" si="9"/>
        <v>-541047</v>
      </c>
      <c r="D34" s="11">
        <f t="shared" si="9"/>
        <v>-631855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 t="s">
        <v>71</v>
      </c>
      <c r="B35" s="11">
        <f t="shared" ref="B35:D35" si="10">B34+B30</f>
        <v>-531316</v>
      </c>
      <c r="C35" s="11">
        <f t="shared" si="10"/>
        <v>-467498</v>
      </c>
      <c r="D35" s="11">
        <f t="shared" si="10"/>
        <v>-545750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"/>
      <c r="B36" s="4"/>
      <c r="C36" s="1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" t="s">
        <v>72</v>
      </c>
      <c r="B37" s="19" t="s">
        <v>73</v>
      </c>
      <c r="C37" s="21">
        <f t="shared" ref="C37:D37" si="11">(C7-B7)/B7</f>
        <v>0.02059685379</v>
      </c>
      <c r="D37" s="21">
        <f t="shared" si="11"/>
        <v>0.007191483253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" t="s">
        <v>74</v>
      </c>
      <c r="B38" s="22">
        <f t="shared" ref="B38:D38" si="12">B4/B7</f>
        <v>0.4671499075</v>
      </c>
      <c r="C38" s="22">
        <f t="shared" si="12"/>
        <v>0.4576860016</v>
      </c>
      <c r="D38" s="22">
        <f t="shared" si="12"/>
        <v>0.5000255058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" t="s">
        <v>75</v>
      </c>
      <c r="B39" s="21">
        <f t="shared" ref="B39:D39" si="13">B5/B7</f>
        <v>0.3224861197</v>
      </c>
      <c r="C39" s="21">
        <f t="shared" si="13"/>
        <v>0.3350862479</v>
      </c>
      <c r="D39" s="21">
        <f t="shared" si="13"/>
        <v>0.2595249312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" t="s">
        <v>76</v>
      </c>
      <c r="B40" s="22">
        <f t="shared" ref="B40:D40" si="14">B6/B7</f>
        <v>0.2103639729</v>
      </c>
      <c r="C40" s="22">
        <f t="shared" si="14"/>
        <v>0.2072277505</v>
      </c>
      <c r="D40" s="22">
        <f t="shared" si="14"/>
        <v>0.2404495629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" t="s">
        <v>77</v>
      </c>
      <c r="B41" s="21">
        <f t="shared" ref="B41:D41" si="15">IFERROR(-B8/B7, "-")</f>
        <v>0.5110441086</v>
      </c>
      <c r="C41" s="21">
        <f t="shared" si="15"/>
        <v>0.5511390167</v>
      </c>
      <c r="D41" s="21">
        <f t="shared" si="15"/>
        <v>0.4699916281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" t="s">
        <v>79</v>
      </c>
      <c r="B42" s="24">
        <f t="shared" ref="B42:D42" si="16">B15-B10-B11-B12-B14</f>
        <v>153147</v>
      </c>
      <c r="C42" s="24">
        <f t="shared" si="16"/>
        <v>147652</v>
      </c>
      <c r="D42" s="24">
        <f t="shared" si="16"/>
        <v>182829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5"/>
      <c r="B43" s="25"/>
      <c r="C43" s="2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"/>
      <c r="B44" s="4"/>
      <c r="C44" s="1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5"/>
      <c r="B45" s="25"/>
      <c r="C45" s="2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"/>
      <c r="B46" s="4"/>
      <c r="C46" s="1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5"/>
      <c r="B47" s="25"/>
      <c r="C47" s="2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"/>
      <c r="B48" s="4"/>
      <c r="C48" s="1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5"/>
      <c r="B49" s="25"/>
      <c r="C49" s="2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4"/>
      <c r="B50" s="4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5"/>
      <c r="B51" s="25"/>
      <c r="C51" s="2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"/>
      <c r="B52" s="4"/>
      <c r="C52" s="1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5"/>
      <c r="B53" s="25"/>
      <c r="C53" s="2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4"/>
      <c r="B54" s="4"/>
      <c r="C54" s="1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5"/>
      <c r="B55" s="25"/>
      <c r="C55" s="2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4"/>
      <c r="B56" s="4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5"/>
      <c r="B57" s="25"/>
      <c r="C57" s="2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4"/>
      <c r="B58" s="4"/>
      <c r="C58" s="1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5"/>
      <c r="B59" s="25"/>
      <c r="C59" s="2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"/>
      <c r="B60" s="4"/>
      <c r="C60" s="1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5"/>
      <c r="B61" s="25"/>
      <c r="C61" s="2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4"/>
      <c r="B62" s="4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5"/>
      <c r="B63" s="25"/>
      <c r="C63" s="2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4"/>
      <c r="B64" s="4"/>
      <c r="C64" s="1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5"/>
      <c r="B65" s="25"/>
      <c r="C65" s="2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4"/>
      <c r="B66" s="4"/>
      <c r="C66" s="1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5"/>
      <c r="B67" s="25"/>
      <c r="C67" s="2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4"/>
      <c r="B68" s="4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5"/>
      <c r="B69" s="25"/>
      <c r="C69" s="2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4"/>
      <c r="B70" s="4"/>
      <c r="C70" s="1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5"/>
      <c r="B71" s="25"/>
      <c r="C71" s="2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4"/>
      <c r="B72" s="4"/>
      <c r="C72" s="1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5"/>
      <c r="B73" s="25"/>
      <c r="C73" s="2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4"/>
      <c r="B74" s="4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5"/>
      <c r="B75" s="25"/>
      <c r="C75" s="2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4"/>
      <c r="B76" s="4"/>
      <c r="C76" s="1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5"/>
      <c r="B77" s="25"/>
      <c r="C77" s="2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4"/>
      <c r="B78" s="4"/>
      <c r="C78" s="1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5"/>
      <c r="B79" s="25"/>
      <c r="C79" s="2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4"/>
      <c r="B80" s="4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5"/>
      <c r="B81" s="25"/>
      <c r="C81" s="2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4"/>
      <c r="B82" s="4"/>
      <c r="C82" s="1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5"/>
      <c r="B83" s="25"/>
      <c r="C83" s="2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4"/>
      <c r="B84" s="4"/>
      <c r="C84" s="1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5"/>
      <c r="B85" s="25"/>
      <c r="C85" s="2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4"/>
      <c r="B86" s="4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5"/>
      <c r="B87" s="25"/>
      <c r="C87" s="2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4"/>
      <c r="B88" s="4"/>
      <c r="C88" s="1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5"/>
      <c r="B89" s="25"/>
      <c r="C89" s="2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4"/>
      <c r="B90" s="4"/>
      <c r="C90" s="1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5"/>
      <c r="B91" s="25"/>
      <c r="C91" s="2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4"/>
      <c r="B92" s="4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5"/>
      <c r="B93" s="25"/>
      <c r="C93" s="2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4"/>
      <c r="B94" s="4"/>
      <c r="C94" s="1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5"/>
      <c r="B95" s="25"/>
      <c r="C95" s="2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4"/>
      <c r="B96" s="4"/>
      <c r="C96" s="1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5"/>
      <c r="B97" s="25"/>
      <c r="C97" s="2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4"/>
      <c r="B98" s="4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5"/>
      <c r="B99" s="25"/>
      <c r="C99" s="2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4"/>
      <c r="B100" s="4"/>
      <c r="C100" s="1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5"/>
      <c r="B101" s="25"/>
      <c r="C101" s="2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4"/>
      <c r="B102" s="4"/>
      <c r="C102" s="1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5"/>
      <c r="B103" s="25"/>
      <c r="C103" s="2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4"/>
      <c r="B104" s="4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5"/>
      <c r="B105" s="25"/>
      <c r="C105" s="2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4"/>
      <c r="B106" s="4"/>
      <c r="C106" s="1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5"/>
      <c r="B107" s="25"/>
      <c r="C107" s="2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4"/>
      <c r="B108" s="4"/>
      <c r="C108" s="1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5"/>
      <c r="B109" s="25"/>
      <c r="C109" s="2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4"/>
      <c r="B110" s="4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5"/>
      <c r="B111" s="25"/>
      <c r="C111" s="2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4"/>
      <c r="B112" s="4"/>
      <c r="C112" s="1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5"/>
      <c r="B113" s="25"/>
      <c r="C113" s="2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4"/>
      <c r="B114" s="4"/>
      <c r="C114" s="1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5"/>
      <c r="B115" s="25"/>
      <c r="C115" s="2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4"/>
      <c r="B116" s="4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5"/>
      <c r="B117" s="25"/>
      <c r="C117" s="2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4"/>
      <c r="B118" s="4"/>
      <c r="C118" s="1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5"/>
      <c r="B119" s="25"/>
      <c r="C119" s="2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4"/>
      <c r="B120" s="4"/>
      <c r="C120" s="1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5"/>
      <c r="B121" s="25"/>
      <c r="C121" s="2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4"/>
      <c r="B122" s="4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5"/>
      <c r="B123" s="25"/>
      <c r="C123" s="2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4"/>
      <c r="B124" s="4"/>
      <c r="C124" s="1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5"/>
      <c r="B125" s="25"/>
      <c r="C125" s="2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4"/>
      <c r="B126" s="4"/>
      <c r="C126" s="1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5"/>
      <c r="B127" s="25"/>
      <c r="C127" s="2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4"/>
      <c r="B128" s="4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5"/>
      <c r="B129" s="25"/>
      <c r="C129" s="2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4"/>
      <c r="B130" s="4"/>
      <c r="C130" s="1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5"/>
      <c r="B131" s="25"/>
      <c r="C131" s="2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4"/>
      <c r="B132" s="4"/>
      <c r="C132" s="1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5"/>
      <c r="B133" s="25"/>
      <c r="C133" s="2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.38"/>
    <col customWidth="1" min="4" max="4" width="3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4"/>
      <c r="B3" s="4"/>
      <c r="C3" s="4"/>
      <c r="D3" s="3" t="s">
        <v>10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4"/>
      <c r="B4" s="4"/>
      <c r="C4" s="4"/>
      <c r="D4" s="6" t="s">
        <v>17</v>
      </c>
      <c r="E4" s="9">
        <v>0.025</v>
      </c>
      <c r="F4" s="9">
        <v>0.025</v>
      </c>
      <c r="G4" s="9">
        <v>0.03</v>
      </c>
      <c r="H4" s="9">
        <v>0.03</v>
      </c>
      <c r="I4" s="9">
        <v>0.03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4"/>
      <c r="B5" s="4"/>
      <c r="C5" s="4"/>
      <c r="D5" s="6" t="s">
        <v>24</v>
      </c>
      <c r="E5" s="10">
        <v>-10000.0</v>
      </c>
      <c r="F5" s="10">
        <v>-10000.0</v>
      </c>
      <c r="G5" s="10">
        <v>0.0</v>
      </c>
      <c r="H5" s="10">
        <v>0.0</v>
      </c>
      <c r="I5" s="10">
        <v>0.0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4"/>
      <c r="B6" s="4"/>
      <c r="C6" s="4"/>
      <c r="D6" s="6" t="s">
        <v>26</v>
      </c>
      <c r="E6" s="9">
        <v>0.05</v>
      </c>
      <c r="F6" s="9">
        <v>0.05</v>
      </c>
      <c r="G6" s="9">
        <v>0.05</v>
      </c>
      <c r="H6" s="9">
        <v>0.05</v>
      </c>
      <c r="I6" s="9">
        <v>0.05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4"/>
      <c r="B7" s="4"/>
      <c r="C7" s="4"/>
      <c r="D7" s="6" t="s">
        <v>27</v>
      </c>
      <c r="E7" s="10">
        <v>145000.0</v>
      </c>
      <c r="F7" s="10">
        <v>185000.0</v>
      </c>
      <c r="G7" s="10">
        <v>230000.0</v>
      </c>
      <c r="H7" s="10">
        <v>235000.0</v>
      </c>
      <c r="I7" s="10">
        <v>240000.0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4"/>
      <c r="B8" s="4"/>
      <c r="C8" s="4"/>
      <c r="D8" s="6" t="s">
        <v>28</v>
      </c>
      <c r="E8" s="10">
        <v>135000.0</v>
      </c>
      <c r="F8" s="10">
        <v>150000.0</v>
      </c>
      <c r="G8" s="10">
        <v>165000.0</v>
      </c>
      <c r="H8" s="10">
        <v>170000.0</v>
      </c>
      <c r="I8" s="10">
        <v>175000.0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4"/>
      <c r="B9" s="4"/>
      <c r="C9" s="4"/>
      <c r="D9" s="6" t="s">
        <v>29</v>
      </c>
      <c r="E9" s="9">
        <v>0.5</v>
      </c>
      <c r="F9" s="9">
        <v>0.48</v>
      </c>
      <c r="G9" s="9">
        <v>0.47</v>
      </c>
      <c r="H9" s="9">
        <v>0.46</v>
      </c>
      <c r="I9" s="9">
        <v>0.45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4"/>
      <c r="B10" s="4"/>
      <c r="C10" s="4"/>
      <c r="D10" s="6" t="s">
        <v>31</v>
      </c>
      <c r="E10" s="9">
        <v>0.238</v>
      </c>
      <c r="F10" s="9">
        <v>0.243</v>
      </c>
      <c r="G10" s="9">
        <v>0.243</v>
      </c>
      <c r="H10" s="9">
        <v>0.24</v>
      </c>
      <c r="I10" s="9">
        <v>0.238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4"/>
      <c r="B11" s="4"/>
      <c r="C11" s="4"/>
      <c r="D11" s="6" t="s">
        <v>33</v>
      </c>
      <c r="E11" s="10">
        <v>-16000.0</v>
      </c>
      <c r="F11" s="10">
        <v>-16500.0</v>
      </c>
      <c r="G11" s="10">
        <v>-17000.0</v>
      </c>
      <c r="H11" s="10">
        <v>-17500.0</v>
      </c>
      <c r="I11" s="10">
        <v>-18000.0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4"/>
      <c r="B12" s="4"/>
      <c r="C12" s="4"/>
      <c r="D12" s="6" t="s">
        <v>35</v>
      </c>
      <c r="E12" s="10">
        <v>-170000.0</v>
      </c>
      <c r="F12" s="10">
        <v>-175000.0</v>
      </c>
      <c r="G12" s="10">
        <v>-180000.0</v>
      </c>
      <c r="H12" s="10">
        <v>-185000.0</v>
      </c>
      <c r="I12" s="10">
        <v>-190000.0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4"/>
      <c r="B13" s="4"/>
      <c r="C13" s="4"/>
      <c r="D13" s="6" t="s">
        <v>37</v>
      </c>
      <c r="E13" s="10">
        <v>-140000.0</v>
      </c>
      <c r="F13" s="10">
        <v>-140000.0</v>
      </c>
      <c r="G13" s="10">
        <v>-140000.0</v>
      </c>
      <c r="H13" s="10">
        <v>-140000.0</v>
      </c>
      <c r="I13" s="10">
        <v>-140000.0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4"/>
      <c r="B14" s="4"/>
      <c r="C14" s="4"/>
      <c r="D14" s="6" t="s">
        <v>38</v>
      </c>
      <c r="E14" s="10">
        <v>-20000.0</v>
      </c>
      <c r="F14" s="10">
        <v>-20000.0</v>
      </c>
      <c r="G14" s="10">
        <v>-20000.0</v>
      </c>
      <c r="H14" s="10">
        <v>-20000.0</v>
      </c>
      <c r="I14" s="10">
        <v>-20000.0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4"/>
      <c r="B15" s="4"/>
      <c r="C15" s="4"/>
      <c r="D15" s="6" t="s">
        <v>39</v>
      </c>
      <c r="E15" s="10">
        <v>-5000.0</v>
      </c>
      <c r="F15" s="10">
        <v>-5000.0</v>
      </c>
      <c r="G15" s="10">
        <v>-5000.0</v>
      </c>
      <c r="H15" s="10">
        <v>-5000.0</v>
      </c>
      <c r="I15" s="10">
        <v>-5000.0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0"/>
  </cols>
  <sheetData>
    <row r="3">
      <c r="D3" s="2" t="s">
        <v>0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>
      <c r="D4" s="5" t="s">
        <v>7</v>
      </c>
      <c r="E4" s="12">
        <f>('02_Historical'!D2*(1+'03_Drivers'!E4))+'03_Drivers'!E5</f>
        <v>183110</v>
      </c>
      <c r="F4" s="12">
        <f>(E4-'03_Drivers'!E5)*(1+'03_Drivers'!F4)+'03_Drivers'!F5</f>
        <v>187937.75</v>
      </c>
      <c r="G4" s="12">
        <f>(F4-'03_Drivers'!F5)*(1+'03_Drivers'!G4)+'03_Drivers'!G5</f>
        <v>203875.8825</v>
      </c>
      <c r="H4" s="12">
        <f>(G4-'03_Drivers'!G5)*(1+'03_Drivers'!H4)+'03_Drivers'!H5</f>
        <v>209992.159</v>
      </c>
      <c r="I4" s="12">
        <f>(H4-'03_Drivers'!H5)*(1+'03_Drivers'!I4)+'03_Drivers'!I5</f>
        <v>216291.9237</v>
      </c>
    </row>
    <row r="5">
      <c r="D5" s="5" t="s">
        <v>49</v>
      </c>
      <c r="E5" s="12">
        <f>'02_Historical'!D3*(1+'03_Drivers'!E6)</f>
        <v>152117.7</v>
      </c>
      <c r="F5" s="12">
        <f>E5*(1+'03_Drivers'!F6)</f>
        <v>159723.585</v>
      </c>
      <c r="G5" s="12">
        <f>F5*(1+'03_Drivers'!G6)</f>
        <v>167709.7643</v>
      </c>
      <c r="H5" s="12">
        <f>G5*(1+'03_Drivers'!H6)</f>
        <v>176095.2525</v>
      </c>
      <c r="I5" s="12">
        <f>H5*(1+'03_Drivers'!I6)</f>
        <v>184900.0151</v>
      </c>
    </row>
    <row r="6">
      <c r="D6" s="17" t="s">
        <v>25</v>
      </c>
      <c r="E6" s="12">
        <f t="shared" ref="E6:I6" si="1">E4 + E5</f>
        <v>335227.7</v>
      </c>
      <c r="F6" s="12">
        <f t="shared" si="1"/>
        <v>347661.335</v>
      </c>
      <c r="G6" s="12">
        <f t="shared" si="1"/>
        <v>371585.6468</v>
      </c>
      <c r="H6" s="12">
        <f t="shared" si="1"/>
        <v>386087.4114</v>
      </c>
      <c r="I6" s="12">
        <f t="shared" si="1"/>
        <v>401191.9388</v>
      </c>
    </row>
    <row r="7">
      <c r="D7" s="5" t="s">
        <v>30</v>
      </c>
      <c r="E7" s="12">
        <f>'03_Drivers'!E7</f>
        <v>145000</v>
      </c>
      <c r="F7" s="12">
        <f>'03_Drivers'!F7</f>
        <v>185000</v>
      </c>
      <c r="G7" s="12">
        <f>'03_Drivers'!G7</f>
        <v>230000</v>
      </c>
      <c r="H7" s="12">
        <f>'03_Drivers'!H7</f>
        <v>235000</v>
      </c>
      <c r="I7" s="12">
        <f>'03_Drivers'!I7</f>
        <v>240000</v>
      </c>
    </row>
    <row r="8">
      <c r="D8" s="5" t="s">
        <v>34</v>
      </c>
      <c r="E8" s="12">
        <f>'03_Drivers'!E8</f>
        <v>135000</v>
      </c>
      <c r="F8" s="12">
        <f>'03_Drivers'!F8</f>
        <v>150000</v>
      </c>
      <c r="G8" s="12">
        <f>'03_Drivers'!G8</f>
        <v>165000</v>
      </c>
      <c r="H8" s="12">
        <f>'03_Drivers'!H8</f>
        <v>170000</v>
      </c>
      <c r="I8" s="12">
        <f>'03_Drivers'!I8</f>
        <v>175000</v>
      </c>
    </row>
    <row r="9">
      <c r="D9" s="20"/>
      <c r="E9" s="12"/>
      <c r="F9" s="12"/>
      <c r="G9" s="12"/>
      <c r="H9" s="12"/>
      <c r="I9" s="12"/>
    </row>
    <row r="10">
      <c r="D10" s="17" t="s">
        <v>36</v>
      </c>
      <c r="E10" s="12">
        <f t="shared" ref="E10:I10" si="2">sum(E6:E8)</f>
        <v>615227.7</v>
      </c>
      <c r="F10" s="12">
        <f t="shared" si="2"/>
        <v>682661.335</v>
      </c>
      <c r="G10" s="12">
        <f t="shared" si="2"/>
        <v>766585.6468</v>
      </c>
      <c r="H10" s="12">
        <f t="shared" si="2"/>
        <v>791087.4114</v>
      </c>
      <c r="I10" s="12">
        <f t="shared" si="2"/>
        <v>816191.9388</v>
      </c>
    </row>
    <row r="11">
      <c r="D11" s="20"/>
      <c r="E11" s="12"/>
      <c r="F11" s="12"/>
      <c r="G11" s="12"/>
      <c r="H11" s="12"/>
      <c r="I11" s="12"/>
    </row>
    <row r="12">
      <c r="D12" s="5" t="s">
        <v>41</v>
      </c>
      <c r="E12" s="12">
        <f>-E10 * '03_Drivers'!E9</f>
        <v>-307613.85</v>
      </c>
      <c r="F12" s="12">
        <f>-F10 * '03_Drivers'!F9</f>
        <v>-327677.4408</v>
      </c>
      <c r="G12" s="12">
        <f>-G10 * '03_Drivers'!G9</f>
        <v>-360295.254</v>
      </c>
      <c r="H12" s="12">
        <f>-H10 * '03_Drivers'!H9</f>
        <v>-363900.2093</v>
      </c>
      <c r="I12" s="12">
        <f>-I10 * '03_Drivers'!I9</f>
        <v>-367286.3725</v>
      </c>
    </row>
    <row r="13">
      <c r="D13" s="5" t="s">
        <v>43</v>
      </c>
      <c r="E13" s="12">
        <f>-E10 * '03_Drivers'!E10</f>
        <v>-146424.1926</v>
      </c>
      <c r="F13" s="12">
        <f>-F10 * '03_Drivers'!F10</f>
        <v>-165886.7044</v>
      </c>
      <c r="G13" s="12">
        <f>-G10 * '03_Drivers'!G10</f>
        <v>-186280.3122</v>
      </c>
      <c r="H13" s="12">
        <f>-H10 * '03_Drivers'!H10</f>
        <v>-189860.9787</v>
      </c>
      <c r="I13" s="12">
        <f>-I10 * '03_Drivers'!I10</f>
        <v>-194253.6814</v>
      </c>
    </row>
    <row r="14">
      <c r="D14" s="5" t="s">
        <v>44</v>
      </c>
      <c r="E14" s="12">
        <f>'03_Drivers'!E11</f>
        <v>-16000</v>
      </c>
      <c r="F14" s="12">
        <f>'03_Drivers'!F11</f>
        <v>-16500</v>
      </c>
      <c r="G14" s="12">
        <f>'03_Drivers'!G11</f>
        <v>-17000</v>
      </c>
      <c r="H14" s="12">
        <f>'03_Drivers'!H11</f>
        <v>-17500</v>
      </c>
      <c r="I14" s="12">
        <f>'03_Drivers'!I11</f>
        <v>-18000</v>
      </c>
    </row>
    <row r="15">
      <c r="D15" s="5" t="s">
        <v>45</v>
      </c>
      <c r="E15" s="12">
        <f>'03_Drivers'!E12</f>
        <v>-170000</v>
      </c>
      <c r="F15" s="12">
        <f>'03_Drivers'!F12</f>
        <v>-175000</v>
      </c>
      <c r="G15" s="12">
        <f>'03_Drivers'!G12</f>
        <v>-180000</v>
      </c>
      <c r="H15" s="12">
        <f>'03_Drivers'!H12</f>
        <v>-185000</v>
      </c>
      <c r="I15" s="12">
        <f>'03_Drivers'!I12</f>
        <v>-190000</v>
      </c>
    </row>
    <row r="16">
      <c r="D16" s="20"/>
      <c r="E16" s="12"/>
      <c r="F16" s="12"/>
      <c r="G16" s="12"/>
      <c r="H16" s="12"/>
      <c r="I16" s="12"/>
    </row>
    <row r="17">
      <c r="D17" s="17" t="s">
        <v>51</v>
      </c>
      <c r="E17" s="12">
        <f t="shared" ref="E17:I17" si="3">SUM(E10, E12:E15)</f>
        <v>-24810.3426</v>
      </c>
      <c r="F17" s="12">
        <f t="shared" si="3"/>
        <v>-2402.810205</v>
      </c>
      <c r="G17" s="12">
        <f t="shared" si="3"/>
        <v>23010.08062</v>
      </c>
      <c r="H17" s="12">
        <f t="shared" si="3"/>
        <v>34826.22343</v>
      </c>
      <c r="I17" s="12">
        <f t="shared" si="3"/>
        <v>46651.88491</v>
      </c>
    </row>
    <row r="18">
      <c r="D18" s="20"/>
      <c r="E18" s="12"/>
      <c r="F18" s="12"/>
      <c r="G18" s="12"/>
      <c r="H18" s="12"/>
      <c r="I18" s="12"/>
    </row>
    <row r="19">
      <c r="D19" s="17" t="s">
        <v>82</v>
      </c>
      <c r="E19" s="12">
        <f t="shared" ref="E19:I19" si="4">IF(E17&gt;0, -E17 * 0.25, 0)</f>
        <v>0</v>
      </c>
      <c r="F19" s="12">
        <f t="shared" si="4"/>
        <v>0</v>
      </c>
      <c r="G19" s="12">
        <f t="shared" si="4"/>
        <v>-5752.520154</v>
      </c>
      <c r="H19" s="12">
        <f t="shared" si="4"/>
        <v>-8706.555858</v>
      </c>
      <c r="I19" s="12">
        <f t="shared" si="4"/>
        <v>-11662.97123</v>
      </c>
    </row>
    <row r="20">
      <c r="D20" s="17" t="s">
        <v>83</v>
      </c>
      <c r="E20" s="12">
        <f t="shared" ref="E20:I20" si="5">E17 + E19</f>
        <v>-24810.3426</v>
      </c>
      <c r="F20" s="12">
        <f t="shared" si="5"/>
        <v>-2402.810205</v>
      </c>
      <c r="G20" s="12">
        <f t="shared" si="5"/>
        <v>17257.56046</v>
      </c>
      <c r="H20" s="12">
        <f t="shared" si="5"/>
        <v>26119.66757</v>
      </c>
      <c r="I20" s="12">
        <f t="shared" si="5"/>
        <v>34988.91369</v>
      </c>
    </row>
    <row r="21">
      <c r="D21" s="20"/>
      <c r="E21" s="12"/>
      <c r="F21" s="12"/>
      <c r="G21" s="12"/>
      <c r="H21" s="12"/>
      <c r="I21" s="12"/>
    </row>
    <row r="22">
      <c r="D22" s="5" t="s">
        <v>85</v>
      </c>
      <c r="E22" s="12">
        <f t="shared" ref="E22:I22" si="6">-(E14 + E15)</f>
        <v>186000</v>
      </c>
      <c r="F22" s="12">
        <f t="shared" si="6"/>
        <v>191500</v>
      </c>
      <c r="G22" s="12">
        <f t="shared" si="6"/>
        <v>197000</v>
      </c>
      <c r="H22" s="12">
        <f t="shared" si="6"/>
        <v>202500</v>
      </c>
      <c r="I22" s="12">
        <f t="shared" si="6"/>
        <v>208000</v>
      </c>
    </row>
    <row r="23">
      <c r="D23" s="5" t="s">
        <v>86</v>
      </c>
      <c r="E23" s="12">
        <f>'03_Drivers'!E14</f>
        <v>-20000</v>
      </c>
      <c r="F23" s="12">
        <f>'03_Drivers'!F14</f>
        <v>-20000</v>
      </c>
      <c r="G23" s="12">
        <f>'03_Drivers'!G14</f>
        <v>-20000</v>
      </c>
      <c r="H23" s="12">
        <f>'03_Drivers'!H14</f>
        <v>-20000</v>
      </c>
      <c r="I23" s="12">
        <f>'03_Drivers'!I14</f>
        <v>-20000</v>
      </c>
    </row>
    <row r="24">
      <c r="D24" s="5" t="s">
        <v>87</v>
      </c>
      <c r="E24" s="12">
        <f>'03_Drivers'!E13</f>
        <v>-140000</v>
      </c>
      <c r="F24" s="12">
        <f>'03_Drivers'!F13</f>
        <v>-140000</v>
      </c>
      <c r="G24" s="12">
        <f>'03_Drivers'!G13</f>
        <v>-140000</v>
      </c>
      <c r="H24" s="12">
        <f>'03_Drivers'!H13</f>
        <v>-140000</v>
      </c>
      <c r="I24" s="12">
        <f>'03_Drivers'!I13</f>
        <v>-140000</v>
      </c>
    </row>
    <row r="25">
      <c r="D25" s="5" t="s">
        <v>89</v>
      </c>
      <c r="E25" s="12">
        <f>'03_Drivers'!E15</f>
        <v>-5000</v>
      </c>
      <c r="F25" s="12">
        <f>'03_Drivers'!F15</f>
        <v>-5000</v>
      </c>
      <c r="G25" s="12">
        <f>'03_Drivers'!G15</f>
        <v>-5000</v>
      </c>
      <c r="H25" s="12">
        <f>'03_Drivers'!H15</f>
        <v>-5000</v>
      </c>
      <c r="I25" s="12">
        <f>'03_Drivers'!I15</f>
        <v>-5000</v>
      </c>
    </row>
    <row r="26">
      <c r="D26" s="5" t="s">
        <v>78</v>
      </c>
      <c r="E26" s="12">
        <f t="shared" ref="E26:I26" si="7">SUM(E20, E22:E25)</f>
        <v>-3810.3426</v>
      </c>
      <c r="F26" s="12">
        <f t="shared" si="7"/>
        <v>24097.1898</v>
      </c>
      <c r="G26" s="12">
        <f t="shared" si="7"/>
        <v>49257.56046</v>
      </c>
      <c r="H26" s="12">
        <f t="shared" si="7"/>
        <v>63619.66757</v>
      </c>
      <c r="I26" s="12">
        <f t="shared" si="7"/>
        <v>77988.91369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2">
      <c r="A2" s="5" t="s">
        <v>1</v>
      </c>
      <c r="B2" s="7">
        <v>0.0425</v>
      </c>
    </row>
    <row r="3">
      <c r="A3" s="5" t="s">
        <v>18</v>
      </c>
      <c r="B3" s="7">
        <v>0.0525</v>
      </c>
    </row>
    <row r="4">
      <c r="A4" s="5" t="s">
        <v>19</v>
      </c>
      <c r="B4" s="7">
        <v>0.7</v>
      </c>
    </row>
    <row r="5">
      <c r="A5" s="5" t="s">
        <v>20</v>
      </c>
      <c r="B5" s="7">
        <v>0.15</v>
      </c>
    </row>
    <row r="6">
      <c r="A6" s="5" t="s">
        <v>21</v>
      </c>
      <c r="B6" s="7">
        <v>0.25</v>
      </c>
    </row>
    <row r="7">
      <c r="A7" s="5" t="s">
        <v>23</v>
      </c>
      <c r="B7" s="13">
        <f>B4 * (1 + (1 - B6) * B5)</f>
        <v>0.77875</v>
      </c>
    </row>
    <row r="8">
      <c r="A8" s="5" t="s">
        <v>32</v>
      </c>
      <c r="B8" s="14">
        <f>B2 + (B7 * B3)</f>
        <v>0.083384375</v>
      </c>
    </row>
    <row r="9">
      <c r="A9" s="5"/>
      <c r="B9" s="14"/>
    </row>
    <row r="10">
      <c r="A10" s="5" t="s">
        <v>40</v>
      </c>
      <c r="B10" s="7">
        <v>0.065</v>
      </c>
    </row>
    <row r="11">
      <c r="A11" s="5" t="s">
        <v>42</v>
      </c>
      <c r="B11" s="15">
        <f>B10 * (1 - B6)</f>
        <v>0.04875</v>
      </c>
    </row>
    <row r="12">
      <c r="A12" s="5"/>
      <c r="B12" s="16"/>
    </row>
    <row r="13">
      <c r="A13" s="5" t="s">
        <v>46</v>
      </c>
      <c r="B13" s="14">
        <f> ('06_Valuation'!B30 * '06_Valuation'!B26 / 1000 / '06_Valuation'!B28) 
                           / (('06_Valuation'!B30 * '06_Valuation'!B26 / 1000 / '06_Valuation'!B28) 
                              - '02_Historical'!D34)</f>
        <v>0.8143824289</v>
      </c>
    </row>
    <row r="14">
      <c r="A14" s="5" t="s">
        <v>54</v>
      </c>
      <c r="B14" s="14">
        <f>1-B13</f>
        <v>0.1856175711</v>
      </c>
    </row>
    <row r="15">
      <c r="A15" s="5"/>
      <c r="B15" s="14"/>
    </row>
    <row r="16">
      <c r="A16" s="5" t="s">
        <v>56</v>
      </c>
      <c r="B16" s="13">
        <f>(B8 * B13) + (B11 * B14)</f>
        <v>0.07695562643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20"/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17" t="s">
        <v>78</v>
      </c>
      <c r="B2" s="23">
        <f>'04_DCF_Model'!E26</f>
        <v>-3810.3426</v>
      </c>
      <c r="C2" s="23">
        <f>'04_DCF_Model'!F26</f>
        <v>24097.1898</v>
      </c>
      <c r="D2" s="23">
        <f>'04_DCF_Model'!G26</f>
        <v>49257.56046</v>
      </c>
      <c r="E2" s="23">
        <f>'04_DCF_Model'!H26</f>
        <v>63619.66757</v>
      </c>
      <c r="F2" s="23">
        <f>'04_DCF_Model'!I26</f>
        <v>77988.91369</v>
      </c>
      <c r="H2" s="26"/>
      <c r="I2" s="27">
        <v>0.075</v>
      </c>
      <c r="J2" s="27">
        <v>0.08</v>
      </c>
      <c r="K2" s="27">
        <v>0.085</v>
      </c>
      <c r="L2" s="27">
        <v>0.09</v>
      </c>
      <c r="M2" s="27">
        <v>0.095</v>
      </c>
    </row>
    <row r="3">
      <c r="A3" s="5" t="s">
        <v>80</v>
      </c>
      <c r="B3" s="28">
        <v>1.0</v>
      </c>
      <c r="C3" s="29">
        <f t="shared" ref="C3:F3" si="1">B3+1</f>
        <v>2</v>
      </c>
      <c r="D3" s="29">
        <f t="shared" si="1"/>
        <v>3</v>
      </c>
      <c r="E3" s="29">
        <f t="shared" si="1"/>
        <v>4</v>
      </c>
      <c r="F3" s="29">
        <f t="shared" si="1"/>
        <v>5</v>
      </c>
      <c r="H3" s="27">
        <v>0.015</v>
      </c>
      <c r="I3" s="30">
        <f t="shared" ref="I3:M3" si="2">IF(OR(ISBLANK(I$2), I$2&lt;=$H3), "-", (((SUMPRODUCT($B$2:$F$2,(1+I$2)^-($B$3:$F$3-0.5)) + ((($F$2 * (1 + $H3)) / (I$2 - $H3)) / ((1 + I$2)^(5 - 0.5))) + $B$19 + $B$20) * 1000 / $B$26) * $B$28))</f>
        <v>4.31115342</v>
      </c>
      <c r="J3" s="30">
        <f t="shared" si="2"/>
        <v>3.60214293</v>
      </c>
      <c r="K3" s="30">
        <f t="shared" si="2"/>
        <v>2.995259407</v>
      </c>
      <c r="L3" s="30">
        <f t="shared" si="2"/>
        <v>2.470060998</v>
      </c>
      <c r="M3" s="30">
        <f t="shared" si="2"/>
        <v>2.011216722</v>
      </c>
    </row>
    <row r="4">
      <c r="A4" s="17" t="s">
        <v>81</v>
      </c>
      <c r="B4" s="31">
        <f>1 / (1 + '05_WACC'!B16)^(B3 - 0.5)</f>
        <v>0.9636095494</v>
      </c>
      <c r="C4" s="31">
        <f>1 / (1 + '05_WACC'!B16)^(C3 - 0.5)</f>
        <v>0.8947532524</v>
      </c>
      <c r="D4" s="31">
        <f>1 / (1 + '05_WACC'!B16)^(D3 - 0.5)</f>
        <v>0.8308171947</v>
      </c>
      <c r="E4" s="31">
        <f>1 / (1 + '05_WACC'!B16)^(E3 - 0.5)</f>
        <v>0.7714497927</v>
      </c>
      <c r="F4" s="31">
        <f>1 / (1 + '05_WACC'!B16)^(F3 - 0.5)</f>
        <v>0.7163245855</v>
      </c>
      <c r="H4" s="27">
        <v>0.0175</v>
      </c>
      <c r="I4" s="30">
        <f t="shared" ref="I4:M4" si="3">IF(OR(ISBLANK(I$2), I$2&lt;=$H4), "-", (((SUMPRODUCT($B$2:$F$2,(1+I$2)^-($B$3:$F$3-0.5)) + ((($F$2 * (1 + $H4)) / (I$2 - $H4)) / ((1 + I$2)^(5 - 0.5))) + $B$19 + $B$20) * 1000 / $B$26) * $B$28))</f>
        <v>4.641936823</v>
      </c>
      <c r="J4" s="30">
        <f t="shared" si="3"/>
        <v>3.878528848</v>
      </c>
      <c r="K4" s="30">
        <f t="shared" si="3"/>
        <v>3.229082033</v>
      </c>
      <c r="L4" s="30">
        <f t="shared" si="3"/>
        <v>2.670001334</v>
      </c>
      <c r="M4" s="30">
        <f t="shared" si="3"/>
        <v>2.183781168</v>
      </c>
    </row>
    <row r="5">
      <c r="A5" s="5" t="s">
        <v>84</v>
      </c>
      <c r="B5" s="12">
        <f t="shared" ref="B5:F5" si="4">B2*B4</f>
        <v>-3671.682516</v>
      </c>
      <c r="C5" s="12">
        <f t="shared" si="4"/>
        <v>21561.03894</v>
      </c>
      <c r="D5" s="12">
        <f t="shared" si="4"/>
        <v>40924.0282</v>
      </c>
      <c r="E5" s="12">
        <f t="shared" si="4"/>
        <v>49079.37936</v>
      </c>
      <c r="F5" s="12">
        <f t="shared" si="4"/>
        <v>55865.37627</v>
      </c>
      <c r="H5" s="27">
        <v>0.02</v>
      </c>
      <c r="I5" s="30">
        <f t="shared" ref="I5:M5" si="5">IF(OR(ISBLANK(I$2), I$2&lt;=$H5), "-", (((SUMPRODUCT($B$2:$F$2,(1+I$2)^-($B$3:$F$3-0.5)) + ((($F$2 * (1 + $H5)) / (I$2 - $H5)) / ((1 + I$2)^(5 - 0.5))) + $B$19 + $B$20) * 1000 / $B$26) * $B$28))</f>
        <v>5.002791444</v>
      </c>
      <c r="J5" s="30">
        <f t="shared" si="5"/>
        <v>4.177946926</v>
      </c>
      <c r="K5" s="30">
        <f t="shared" si="5"/>
        <v>3.480891015</v>
      </c>
      <c r="L5" s="30">
        <f t="shared" si="5"/>
        <v>2.884223123</v>
      </c>
      <c r="M5" s="30">
        <f t="shared" si="5"/>
        <v>2.367849912</v>
      </c>
    </row>
    <row r="6">
      <c r="A6" s="5"/>
      <c r="H6" s="27">
        <v>0.0225</v>
      </c>
      <c r="I6" s="30">
        <f t="shared" ref="I6:M6" si="6">IF(OR(ISBLANK(I$2), I$2&lt;=$H6), "-", (((SUMPRODUCT($B$2:$F$2,(1+I$2)^-($B$3:$F$3-0.5)) + ((($F$2 * (1 + $H6)) / (I$2 - $H6)) / ((1 + I$2)^(5 - 0.5))) + $B$19 + $B$20) * 1000 / $B$26) * $B$28))</f>
        <v>5.398013171</v>
      </c>
      <c r="J6" s="30">
        <f t="shared" si="6"/>
        <v>4.503401359</v>
      </c>
      <c r="K6" s="30">
        <f t="shared" si="6"/>
        <v>3.752844715</v>
      </c>
      <c r="L6" s="30">
        <f t="shared" si="6"/>
        <v>3.114313192</v>
      </c>
      <c r="M6" s="30">
        <f t="shared" si="6"/>
        <v>2.564613051</v>
      </c>
    </row>
    <row r="7">
      <c r="A7" s="5" t="s">
        <v>88</v>
      </c>
      <c r="B7" s="12">
        <f>SUM(B5:F5)</f>
        <v>163758.1403</v>
      </c>
      <c r="H7" s="27">
        <v>0.025</v>
      </c>
      <c r="I7" s="30">
        <f t="shared" ref="I7:M7" si="7">IF(OR(ISBLANK(I$2), I$2&lt;=$H7), "-", (((SUMPRODUCT($B$2:$F$2,(1+I$2)^-($B$3:$F$3-0.5)) + ((($F$2 * (1 + $H7)) / (I$2 - $H7)) / ((1 + I$2)^(5 - 0.5))) + $B$19 + $B$20) * 1000 / $B$26) * $B$28))</f>
        <v>5.832757072</v>
      </c>
      <c r="J7" s="30">
        <f t="shared" si="7"/>
        <v>4.858442558</v>
      </c>
      <c r="K7" s="30">
        <f t="shared" si="7"/>
        <v>4.047461224</v>
      </c>
      <c r="L7" s="30">
        <f t="shared" si="7"/>
        <v>3.362102497</v>
      </c>
      <c r="M7" s="30">
        <f t="shared" si="7"/>
        <v>2.7754307</v>
      </c>
    </row>
    <row r="8">
      <c r="A8" s="20"/>
    </row>
    <row r="9">
      <c r="A9" s="17" t="s">
        <v>90</v>
      </c>
      <c r="B9" s="7">
        <v>0.02</v>
      </c>
    </row>
    <row r="10">
      <c r="A10" s="17" t="s">
        <v>91</v>
      </c>
      <c r="B10" s="32">
        <f>F2 * (1 + B9)</f>
        <v>79548.69196</v>
      </c>
      <c r="H10" s="33"/>
      <c r="I10" s="27">
        <v>0.075</v>
      </c>
      <c r="J10" s="27">
        <v>0.08</v>
      </c>
      <c r="K10" s="27">
        <v>0.085</v>
      </c>
      <c r="L10" s="27">
        <v>0.09</v>
      </c>
      <c r="M10" s="27">
        <v>0.095</v>
      </c>
    </row>
    <row r="11">
      <c r="A11" s="5" t="s">
        <v>92</v>
      </c>
      <c r="B11" s="34">
        <f>B10 / ('05_WACC'!B16 - B9)</f>
        <v>1396678.378</v>
      </c>
      <c r="H11" s="35">
        <v>10.0</v>
      </c>
      <c r="I11" s="30">
        <f>(((SUMPRODUCT($B$2:$F$2,(1+I$10)^-($B$3:$F$3-0.5)) + ((('04_DCF_Model'!$I$17 - '04_DCF_Model'!$I$14 - '04_DCF_Model'!$I$15) * $H11) * (1 / (1 + I$10)^(5 - 0.5)))) + $B$19 + $B$20) * 1000 / $B$26) * $B$28</f>
        <v>10.99303955</v>
      </c>
      <c r="J11" s="30">
        <f>(((SUMPRODUCT($B$2:$F$2,(1+J$10)^-($B$3:$F$3-0.5)) + ((('04_DCF_Model'!$I$17 - '04_DCF_Model'!$I$14 - '04_DCF_Model'!$I$15) * $H11) * (1 / (1 + J$10)^(5 - 0.5)))) + $B$19 + $B$20) * 1000 / $B$26) * $B$28</f>
        <v>10.68709571</v>
      </c>
      <c r="K11" s="30">
        <f>(((SUMPRODUCT($B$2:$F$2,(1+K$10)^-($B$3:$F$3-0.5)) + ((('04_DCF_Model'!$I$17 - '04_DCF_Model'!$I$14 - '04_DCF_Model'!$I$15) * $H11) * (1 / (1 + K$10)^(5 - 0.5)))) + $B$19 + $B$20) * 1000 / $B$26) * $B$28</f>
        <v>10.38877006</v>
      </c>
      <c r="L11" s="30">
        <f>(((SUMPRODUCT($B$2:$F$2,(1+L$10)^-($B$3:$F$3-0.5)) + ((('04_DCF_Model'!$I$17 - '04_DCF_Model'!$I$14 - '04_DCF_Model'!$I$15) * $H11) * (1 / (1 + L$10)^(5 - 0.5)))) + $B$19 + $B$20) * 1000 / $B$26) * $B$28</f>
        <v>10.09783851</v>
      </c>
      <c r="M11" s="30">
        <f>(((SUMPRODUCT($B$2:$F$2,(1+M$10)^-($B$3:$F$3-0.5)) + ((('04_DCF_Model'!$I$17 - '04_DCF_Model'!$I$14 - '04_DCF_Model'!$I$15) * $H11) * (1 / (1 + M$10)^(5 - 0.5)))) + $B$19 + $B$20) * 1000 / $B$26) * $B$28</f>
        <v>9.814084568</v>
      </c>
    </row>
    <row r="12">
      <c r="A12" s="5" t="s">
        <v>93</v>
      </c>
      <c r="B12" s="32">
        <f>B11 * F4</f>
        <v>1000475.06</v>
      </c>
      <c r="H12" s="35">
        <v>11.0</v>
      </c>
      <c r="I12" s="30">
        <f>(((SUMPRODUCT($B$2:$F$2,(1+I$10)^-($B$3:$F$3-0.5)) + ((('04_DCF_Model'!$I$17 - '04_DCF_Model'!$I$14 - '04_DCF_Model'!$I$15) * $H12) * (1 / (1 + I$10)^(5 - 0.5)))) + $B$19 + $B$20) * 1000 / $B$26) * $B$28</f>
        <v>12.37956663</v>
      </c>
      <c r="J12" s="30">
        <f>(((SUMPRODUCT($B$2:$F$2,(1+J$10)^-($B$3:$F$3-0.5)) + ((('04_DCF_Model'!$I$17 - '04_DCF_Model'!$I$14 - '04_DCF_Model'!$I$15) * $H12) * (1 / (1 + J$10)^(5 - 0.5)))) + $B$19 + $B$20) * 1000 / $B$26) * $B$28</f>
        <v>12.04496993</v>
      </c>
      <c r="K12" s="30">
        <f>(((SUMPRODUCT($B$2:$F$2,(1+K$10)^-($B$3:$F$3-0.5)) + ((('04_DCF_Model'!$I$17 - '04_DCF_Model'!$I$14 - '04_DCF_Model'!$I$15) * $H12) * (1 / (1 + K$10)^(5 - 0.5)))) + $B$19 + $B$20) * 1000 / $B$26) * $B$28</f>
        <v>11.71871182</v>
      </c>
      <c r="L12" s="30">
        <f>(((SUMPRODUCT($B$2:$F$2,(1+L$10)^-($B$3:$F$3-0.5)) + ((('04_DCF_Model'!$I$17 - '04_DCF_Model'!$I$14 - '04_DCF_Model'!$I$15) * $H12) * (1 / (1 + L$10)^(5 - 0.5)))) + $B$19 + $B$20) * 1000 / $B$26) * $B$28</f>
        <v>11.40054688</v>
      </c>
      <c r="M12" s="30">
        <f>(((SUMPRODUCT($B$2:$F$2,(1+M$10)^-($B$3:$F$3-0.5)) + ((('04_DCF_Model'!$I$17 - '04_DCF_Model'!$I$14 - '04_DCF_Model'!$I$15) * $H12) * (1 / (1 + M$10)^(5 - 0.5)))) + $B$19 + $B$20) * 1000 / $B$26) * $B$28</f>
        <v>11.09023805</v>
      </c>
    </row>
    <row r="13">
      <c r="A13" s="5"/>
      <c r="H13" s="35">
        <v>12.0</v>
      </c>
      <c r="I13" s="30">
        <f>(((SUMPRODUCT($B$2:$F$2,(1+I$10)^-($B$3:$F$3-0.5)) + ((('04_DCF_Model'!$I$17 - '04_DCF_Model'!$I$14 - '04_DCF_Model'!$I$15) * $H13) * (1 / (1 + I$10)^(5 - 0.5)))) + $B$19 + $B$20) * 1000 / $B$26) * $B$28</f>
        <v>13.76609371</v>
      </c>
      <c r="J13" s="30">
        <f>(((SUMPRODUCT($B$2:$F$2,(1+J$10)^-($B$3:$F$3-0.5)) + ((('04_DCF_Model'!$I$17 - '04_DCF_Model'!$I$14 - '04_DCF_Model'!$I$15) * $H13) * (1 / (1 + J$10)^(5 - 0.5)))) + $B$19 + $B$20) * 1000 / $B$26) * $B$28</f>
        <v>13.40284416</v>
      </c>
      <c r="K13" s="30">
        <f>(((SUMPRODUCT($B$2:$F$2,(1+K$10)^-($B$3:$F$3-0.5)) + ((('04_DCF_Model'!$I$17 - '04_DCF_Model'!$I$14 - '04_DCF_Model'!$I$15) * $H13) * (1 / (1 + K$10)^(5 - 0.5)))) + $B$19 + $B$20) * 1000 / $B$26) * $B$28</f>
        <v>13.04865358</v>
      </c>
      <c r="L13" s="30">
        <f>(((SUMPRODUCT($B$2:$F$2,(1+L$10)^-($B$3:$F$3-0.5)) + ((('04_DCF_Model'!$I$17 - '04_DCF_Model'!$I$14 - '04_DCF_Model'!$I$15) * $H13) * (1 / (1 + L$10)^(5 - 0.5)))) + $B$19 + $B$20) * 1000 / $B$26) * $B$28</f>
        <v>12.70325526</v>
      </c>
      <c r="M13" s="30">
        <f>(((SUMPRODUCT($B$2:$F$2,(1+M$10)^-($B$3:$F$3-0.5)) + ((('04_DCF_Model'!$I$17 - '04_DCF_Model'!$I$14 - '04_DCF_Model'!$I$15) * $H13) * (1 / (1 + M$10)^(5 - 0.5)))) + $B$19 + $B$20) * 1000 / $B$26) * $B$28</f>
        <v>12.36639153</v>
      </c>
    </row>
    <row r="14">
      <c r="A14" s="17" t="s">
        <v>94</v>
      </c>
      <c r="B14" s="28">
        <v>12.5</v>
      </c>
      <c r="H14" s="35">
        <v>13.0</v>
      </c>
      <c r="I14" s="30">
        <f>(((SUMPRODUCT($B$2:$F$2,(1+I$10)^-($B$3:$F$3-0.5)) + ((('04_DCF_Model'!$I$17 - '04_DCF_Model'!$I$14 - '04_DCF_Model'!$I$15) * $H14) * (1 / (1 + I$10)^(5 - 0.5)))) + $B$19 + $B$20) * 1000 / $B$26) * $B$28</f>
        <v>15.15262079</v>
      </c>
      <c r="J14" s="30">
        <f>(((SUMPRODUCT($B$2:$F$2,(1+J$10)^-($B$3:$F$3-0.5)) + ((('04_DCF_Model'!$I$17 - '04_DCF_Model'!$I$14 - '04_DCF_Model'!$I$15) * $H14) * (1 / (1 + J$10)^(5 - 0.5)))) + $B$19 + $B$20) * 1000 / $B$26) * $B$28</f>
        <v>14.76071839</v>
      </c>
      <c r="K14" s="30">
        <f>(((SUMPRODUCT($B$2:$F$2,(1+K$10)^-($B$3:$F$3-0.5)) + ((('04_DCF_Model'!$I$17 - '04_DCF_Model'!$I$14 - '04_DCF_Model'!$I$15) * $H14) * (1 / (1 + K$10)^(5 - 0.5)))) + $B$19 + $B$20) * 1000 / $B$26) * $B$28</f>
        <v>14.37859534</v>
      </c>
      <c r="L14" s="30">
        <f>(((SUMPRODUCT($B$2:$F$2,(1+L$10)^-($B$3:$F$3-0.5)) + ((('04_DCF_Model'!$I$17 - '04_DCF_Model'!$I$14 - '04_DCF_Model'!$I$15) * $H14) * (1 / (1 + L$10)^(5 - 0.5)))) + $B$19 + $B$20) * 1000 / $B$26) * $B$28</f>
        <v>14.00596363</v>
      </c>
      <c r="M14" s="30">
        <f>(((SUMPRODUCT($B$2:$F$2,(1+M$10)^-($B$3:$F$3-0.5)) + ((('04_DCF_Model'!$I$17 - '04_DCF_Model'!$I$14 - '04_DCF_Model'!$I$15) * $H14) * (1 / (1 + M$10)^(5 - 0.5)))) + $B$19 + $B$20) * 1000 / $B$26) * $B$28</f>
        <v>13.64254501</v>
      </c>
    </row>
    <row r="15">
      <c r="A15" s="17" t="s">
        <v>101</v>
      </c>
      <c r="B15" s="34">
        <f>('04_DCF_Model'!I17 - '04_DCF_Model'!I14 - '04_DCF_Model'!I15) * B14</f>
        <v>3183148.561</v>
      </c>
      <c r="H15" s="35">
        <v>14.0</v>
      </c>
      <c r="I15" s="30">
        <f>(((SUMPRODUCT($B$2:$F$2,(1+I$10)^-($B$3:$F$3-0.5)) + ((('04_DCF_Model'!$I$17 - '04_DCF_Model'!$I$14 - '04_DCF_Model'!$I$15) * $H15) * (1 / (1 + I$10)^(5 - 0.5)))) + $B$19 + $B$20) * 1000 / $B$26) * $B$28</f>
        <v>16.53914787</v>
      </c>
      <c r="J15" s="30">
        <f>(((SUMPRODUCT($B$2:$F$2,(1+J$10)^-($B$3:$F$3-0.5)) + ((('04_DCF_Model'!$I$17 - '04_DCF_Model'!$I$14 - '04_DCF_Model'!$I$15) * $H15) * (1 / (1 + J$10)^(5 - 0.5)))) + $B$19 + $B$20) * 1000 / $B$26) * $B$28</f>
        <v>16.11859262</v>
      </c>
      <c r="K15" s="30">
        <f>(((SUMPRODUCT($B$2:$F$2,(1+K$10)^-($B$3:$F$3-0.5)) + ((('04_DCF_Model'!$I$17 - '04_DCF_Model'!$I$14 - '04_DCF_Model'!$I$15) * $H15) * (1 / (1 + K$10)^(5 - 0.5)))) + $B$19 + $B$20) * 1000 / $B$26) * $B$28</f>
        <v>15.7085371</v>
      </c>
      <c r="L15" s="30">
        <f>(((SUMPRODUCT($B$2:$F$2,(1+L$10)^-($B$3:$F$3-0.5)) + ((('04_DCF_Model'!$I$17 - '04_DCF_Model'!$I$14 - '04_DCF_Model'!$I$15) * $H15) * (1 / (1 + L$10)^(5 - 0.5)))) + $B$19 + $B$20) * 1000 / $B$26) * $B$28</f>
        <v>15.30867201</v>
      </c>
      <c r="M15" s="30">
        <f>(((SUMPRODUCT($B$2:$F$2,(1+M$10)^-($B$3:$F$3-0.5)) + ((('04_DCF_Model'!$I$17 - '04_DCF_Model'!$I$14 - '04_DCF_Model'!$I$15) * $H15) * (1 / (1 + M$10)^(5 - 0.5)))) + $B$19 + $B$20) * 1000 / $B$26) * $B$28</f>
        <v>14.91869849</v>
      </c>
    </row>
    <row r="16">
      <c r="A16" s="5" t="s">
        <v>110</v>
      </c>
      <c r="B16" s="32">
        <f>B15 * F4</f>
        <v>2280167.574</v>
      </c>
    </row>
    <row r="17">
      <c r="A17" s="20"/>
    </row>
    <row r="18">
      <c r="A18" s="17" t="s">
        <v>111</v>
      </c>
      <c r="B18" s="12">
        <f>B7 + B16</f>
        <v>2443925.714</v>
      </c>
    </row>
    <row r="19">
      <c r="A19" s="5" t="s">
        <v>112</v>
      </c>
      <c r="B19" s="23">
        <f>'02_Historical'!D34</f>
        <v>-631855</v>
      </c>
    </row>
    <row r="20">
      <c r="A20" s="5" t="s">
        <v>113</v>
      </c>
      <c r="B20" s="12">
        <f>'02_Historical'!D30</f>
        <v>86105</v>
      </c>
    </row>
    <row r="21">
      <c r="A21" s="5" t="s">
        <v>114</v>
      </c>
      <c r="B21" s="12">
        <f>B18 + B19 + B20</f>
        <v>1898175.714</v>
      </c>
    </row>
    <row r="22">
      <c r="A22" s="5"/>
    </row>
    <row r="23">
      <c r="A23" s="5" t="s">
        <v>116</v>
      </c>
      <c r="B23" s="44">
        <v>5.776908E7</v>
      </c>
    </row>
    <row r="24">
      <c r="A24" s="5" t="s">
        <v>117</v>
      </c>
      <c r="B24" s="44">
        <v>-1682896.0</v>
      </c>
    </row>
    <row r="25">
      <c r="A25" s="5" t="s">
        <v>118</v>
      </c>
      <c r="B25" s="44">
        <v>1.16348173E8</v>
      </c>
    </row>
    <row r="26">
      <c r="A26" s="5" t="s">
        <v>119</v>
      </c>
      <c r="B26" s="45">
        <f>SUM(B23:B25)</f>
        <v>172434357</v>
      </c>
    </row>
    <row r="27">
      <c r="A27" s="5" t="s">
        <v>120</v>
      </c>
      <c r="B27" s="46">
        <f>(B21 * 1000) / B26</f>
        <v>11.0081062</v>
      </c>
    </row>
    <row r="28">
      <c r="A28" s="5" t="s">
        <v>121</v>
      </c>
      <c r="B28" s="16">
        <v>1.3</v>
      </c>
    </row>
    <row r="29">
      <c r="A29" s="5" t="s">
        <v>122</v>
      </c>
      <c r="B29" s="47">
        <f>B27*B28</f>
        <v>14.31053806</v>
      </c>
    </row>
    <row r="30">
      <c r="A30" s="5" t="s">
        <v>124</v>
      </c>
      <c r="B30" s="48">
        <v>20.9</v>
      </c>
    </row>
    <row r="31">
      <c r="A31" s="5" t="s">
        <v>125</v>
      </c>
      <c r="B31" s="13">
        <f>(B29 / B30) - 1</f>
        <v>-0.3152852604</v>
      </c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  <row r="61">
      <c r="A61" s="20"/>
    </row>
    <row r="62">
      <c r="A62" s="20"/>
    </row>
    <row r="63">
      <c r="A63" s="20"/>
    </row>
    <row r="64">
      <c r="A64" s="20"/>
    </row>
    <row r="65">
      <c r="A65" s="20"/>
    </row>
    <row r="66">
      <c r="A66" s="20"/>
    </row>
    <row r="67">
      <c r="A67" s="20"/>
    </row>
    <row r="68">
      <c r="A68" s="20"/>
    </row>
    <row r="69">
      <c r="A69" s="20"/>
    </row>
    <row r="70">
      <c r="A70" s="20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  <row r="1001">
      <c r="A1001" s="20"/>
    </row>
    <row r="1002">
      <c r="A1002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5.13"/>
    <col customWidth="1" min="3" max="3" width="16.75"/>
    <col customWidth="1" min="4" max="4" width="11.25"/>
    <col customWidth="1" min="5" max="5" width="25.13"/>
  </cols>
  <sheetData>
    <row r="1">
      <c r="A1" s="36" t="s">
        <v>95</v>
      </c>
      <c r="B1" s="37" t="s">
        <v>96</v>
      </c>
    </row>
    <row r="2">
      <c r="A2" s="36" t="s">
        <v>97</v>
      </c>
      <c r="B2" s="37" t="s">
        <v>98</v>
      </c>
    </row>
    <row r="3">
      <c r="A3" s="36" t="s">
        <v>99</v>
      </c>
      <c r="B3" s="30">
        <f>'06_Valuation'!B30</f>
        <v>20.9</v>
      </c>
    </row>
    <row r="4">
      <c r="A4" s="36" t="s">
        <v>100</v>
      </c>
      <c r="B4" s="38">
        <f>'06_Valuation'!B29</f>
        <v>14.31053806</v>
      </c>
    </row>
    <row r="5">
      <c r="A5" s="36" t="s">
        <v>102</v>
      </c>
      <c r="B5" s="39">
        <f>(B4 / B3) - 1 </f>
        <v>-0.3152852604</v>
      </c>
    </row>
    <row r="6">
      <c r="A6" s="20"/>
    </row>
    <row r="7">
      <c r="A7" s="20"/>
    </row>
    <row r="8">
      <c r="A8" s="40" t="s">
        <v>103</v>
      </c>
      <c r="B8" s="40" t="s">
        <v>104</v>
      </c>
      <c r="C8" s="40" t="s">
        <v>105</v>
      </c>
      <c r="D8" s="40" t="s">
        <v>106</v>
      </c>
      <c r="E8" s="40" t="s">
        <v>107</v>
      </c>
      <c r="F8" s="20"/>
    </row>
    <row r="9">
      <c r="A9" s="41" t="s">
        <v>108</v>
      </c>
      <c r="B9" s="42">
        <v>14.2</v>
      </c>
      <c r="C9" s="30"/>
      <c r="D9" s="42">
        <v>22.5</v>
      </c>
      <c r="E9" s="43"/>
    </row>
    <row r="10">
      <c r="A10" s="41" t="s">
        <v>109</v>
      </c>
      <c r="B10" s="30">
        <f>'06_Valuation'!M3</f>
        <v>2.011216722</v>
      </c>
      <c r="C10" s="30">
        <f>'06_Valuation'!J5</f>
        <v>4.177946926</v>
      </c>
      <c r="D10" s="30">
        <f>'06_Valuation'!I7</f>
        <v>5.832757072</v>
      </c>
      <c r="E10" s="43">
        <f>(C10 / $B$3) - 1</f>
        <v>-0.8000982332</v>
      </c>
    </row>
    <row r="11">
      <c r="A11" s="41" t="s">
        <v>115</v>
      </c>
      <c r="B11" s="30">
        <f>'06_Valuation'!M11</f>
        <v>9.814084568</v>
      </c>
      <c r="C11" s="30">
        <f>'06_Valuation'!B29</f>
        <v>14.31053806</v>
      </c>
      <c r="D11" s="30">
        <f>'06_Valuation'!I15</f>
        <v>16.53914787</v>
      </c>
      <c r="E11" s="43">
        <f>'06_Valuation'!B31</f>
        <v>-0.3152852604</v>
      </c>
    </row>
    <row r="12">
      <c r="A12" s="41" t="s">
        <v>123</v>
      </c>
      <c r="B12" s="30"/>
      <c r="C12" s="30">
        <f>((('02_Historical'!B42 * 3.98) - '06_Valuation'!B19 + '06_Valuation'!B20) * 1000 / '06_Valuation'!B26) * '06_Valuation'!B28</f>
        <v>10.00804369</v>
      </c>
      <c r="D12" s="30"/>
      <c r="E12" s="43">
        <f t="shared" ref="E12:E14" si="1">(C12 / $B$3) - 1</f>
        <v>-0.5211462351</v>
      </c>
    </row>
    <row r="13">
      <c r="A13" s="41" t="s">
        <v>126</v>
      </c>
      <c r="B13" s="30"/>
      <c r="C13" s="30">
        <f>((('02_Historical'!D7 * 1.13) - '06_Valuation'!B19 + '06_Valuation'!B20) * 1000 / '06_Valuation'!B26) * '06_Valuation'!B28</f>
        <v>11.09092816</v>
      </c>
      <c r="D13" s="30"/>
      <c r="E13" s="43">
        <f t="shared" si="1"/>
        <v>-0.4693335808</v>
      </c>
    </row>
    <row r="14">
      <c r="A14" s="41" t="s">
        <v>127</v>
      </c>
      <c r="B14" s="30"/>
      <c r="C14" s="42">
        <v>33.0</v>
      </c>
      <c r="D14" s="30"/>
      <c r="E14" s="43">
        <f t="shared" si="1"/>
        <v>0.5789473684</v>
      </c>
    </row>
    <row r="15">
      <c r="A15" s="41" t="s">
        <v>128</v>
      </c>
      <c r="B15" s="30"/>
      <c r="C15" s="30">
        <f>'06_Valuation'!B30</f>
        <v>20.9</v>
      </c>
      <c r="D15" s="30"/>
      <c r="E15" s="49">
        <v>0.0</v>
      </c>
    </row>
    <row r="16">
      <c r="A16" s="20"/>
    </row>
    <row r="17">
      <c r="A17" s="50" t="s">
        <v>129</v>
      </c>
      <c r="B17" s="51"/>
      <c r="C17" s="51"/>
      <c r="D17" s="51"/>
      <c r="E17" s="52"/>
    </row>
    <row r="18">
      <c r="A18" s="53"/>
      <c r="E18" s="54"/>
    </row>
    <row r="19">
      <c r="A19" s="53"/>
      <c r="E19" s="54"/>
    </row>
    <row r="20">
      <c r="A20" s="55"/>
      <c r="B20" s="56"/>
      <c r="C20" s="56"/>
      <c r="D20" s="56"/>
      <c r="E20" s="57"/>
    </row>
    <row r="21">
      <c r="A21" s="20"/>
    </row>
    <row r="22">
      <c r="A22" s="50" t="s">
        <v>130</v>
      </c>
      <c r="B22" s="51"/>
      <c r="C22" s="51"/>
      <c r="D22" s="51"/>
      <c r="E22" s="52"/>
    </row>
    <row r="23">
      <c r="A23" s="53"/>
      <c r="E23" s="54"/>
    </row>
    <row r="24">
      <c r="A24" s="53"/>
      <c r="E24" s="54"/>
    </row>
    <row r="25">
      <c r="A25" s="55"/>
      <c r="B25" s="56"/>
      <c r="C25" s="56"/>
      <c r="D25" s="56"/>
      <c r="E25" s="57"/>
    </row>
    <row r="26">
      <c r="A26" s="20"/>
    </row>
    <row r="27">
      <c r="A27" s="50" t="s">
        <v>131</v>
      </c>
      <c r="B27" s="51"/>
      <c r="C27" s="51"/>
      <c r="D27" s="51"/>
      <c r="E27" s="52"/>
    </row>
    <row r="28">
      <c r="A28" s="53"/>
      <c r="E28" s="54"/>
    </row>
    <row r="29">
      <c r="A29" s="53"/>
      <c r="E29" s="54"/>
    </row>
    <row r="30">
      <c r="A30" s="53"/>
      <c r="E30" s="54"/>
    </row>
    <row r="31">
      <c r="A31" s="55"/>
      <c r="B31" s="56"/>
      <c r="C31" s="56"/>
      <c r="D31" s="56"/>
      <c r="E31" s="57"/>
    </row>
    <row r="32">
      <c r="A32" s="20"/>
    </row>
    <row r="33">
      <c r="A33" s="20"/>
    </row>
    <row r="34">
      <c r="A34" s="20"/>
    </row>
    <row r="35">
      <c r="A35" s="20"/>
    </row>
    <row r="36">
      <c r="A36" s="20"/>
    </row>
    <row r="37">
      <c r="A37" s="20"/>
    </row>
    <row r="38">
      <c r="A38" s="20"/>
    </row>
    <row r="39">
      <c r="A39" s="20"/>
    </row>
    <row r="40">
      <c r="A40" s="20"/>
    </row>
    <row r="41">
      <c r="A41" s="20"/>
    </row>
    <row r="42">
      <c r="A42" s="20"/>
    </row>
    <row r="43">
      <c r="A43" s="20"/>
    </row>
    <row r="44">
      <c r="A44" s="20"/>
    </row>
    <row r="45">
      <c r="A45" s="20"/>
    </row>
    <row r="46">
      <c r="A46" s="20"/>
    </row>
    <row r="47">
      <c r="A47" s="20"/>
    </row>
    <row r="48">
      <c r="A48" s="20"/>
    </row>
    <row r="49">
      <c r="A49" s="20"/>
    </row>
    <row r="50">
      <c r="A50" s="20"/>
    </row>
    <row r="51">
      <c r="A51" s="20"/>
    </row>
    <row r="52">
      <c r="A52" s="20"/>
    </row>
    <row r="53">
      <c r="A53" s="20"/>
    </row>
    <row r="54">
      <c r="A54" s="20"/>
    </row>
    <row r="55">
      <c r="A55" s="20"/>
    </row>
    <row r="56">
      <c r="A56" s="20"/>
    </row>
    <row r="57">
      <c r="A57" s="20"/>
    </row>
    <row r="58">
      <c r="A58" s="20"/>
    </row>
    <row r="59">
      <c r="A59" s="20"/>
    </row>
    <row r="60">
      <c r="A60" s="20"/>
    </row>
    <row r="61">
      <c r="A61" s="20"/>
    </row>
    <row r="62">
      <c r="A62" s="20"/>
    </row>
    <row r="63">
      <c r="A63" s="20"/>
    </row>
    <row r="64">
      <c r="A64" s="20"/>
    </row>
    <row r="65">
      <c r="A65" s="20"/>
    </row>
    <row r="66">
      <c r="A66" s="20"/>
    </row>
    <row r="67">
      <c r="A67" s="20"/>
    </row>
    <row r="68">
      <c r="A68" s="20"/>
    </row>
    <row r="69">
      <c r="A69" s="20"/>
    </row>
    <row r="70">
      <c r="A70" s="20"/>
    </row>
    <row r="71">
      <c r="A71" s="20"/>
    </row>
    <row r="72">
      <c r="A72" s="20"/>
    </row>
    <row r="73">
      <c r="A73" s="20"/>
    </row>
    <row r="74">
      <c r="A74" s="20"/>
    </row>
    <row r="75">
      <c r="A75" s="20"/>
    </row>
    <row r="76">
      <c r="A76" s="20"/>
    </row>
    <row r="77">
      <c r="A77" s="20"/>
    </row>
    <row r="78">
      <c r="A78" s="20"/>
    </row>
    <row r="79">
      <c r="A79" s="20"/>
    </row>
    <row r="80">
      <c r="A80" s="20"/>
    </row>
    <row r="81">
      <c r="A81" s="20"/>
    </row>
    <row r="82">
      <c r="A82" s="20"/>
    </row>
    <row r="83">
      <c r="A83" s="20"/>
    </row>
    <row r="84">
      <c r="A84" s="20"/>
    </row>
    <row r="85">
      <c r="A85" s="20"/>
    </row>
    <row r="86">
      <c r="A86" s="20"/>
    </row>
    <row r="87">
      <c r="A87" s="20"/>
    </row>
    <row r="88">
      <c r="A88" s="20"/>
    </row>
    <row r="89">
      <c r="A89" s="20"/>
    </row>
    <row r="90">
      <c r="A90" s="20"/>
    </row>
    <row r="91">
      <c r="A91" s="20"/>
    </row>
    <row r="92">
      <c r="A92" s="20"/>
    </row>
    <row r="93">
      <c r="A93" s="20"/>
    </row>
    <row r="94">
      <c r="A94" s="20"/>
    </row>
    <row r="95">
      <c r="A95" s="20"/>
    </row>
    <row r="96">
      <c r="A96" s="20"/>
    </row>
    <row r="97">
      <c r="A97" s="20"/>
    </row>
    <row r="98">
      <c r="A98" s="20"/>
    </row>
    <row r="99">
      <c r="A99" s="20"/>
    </row>
    <row r="100">
      <c r="A100" s="20"/>
    </row>
    <row r="101">
      <c r="A101" s="20"/>
    </row>
    <row r="102">
      <c r="A102" s="20"/>
    </row>
    <row r="103">
      <c r="A103" s="20"/>
    </row>
    <row r="104">
      <c r="A104" s="20"/>
    </row>
    <row r="105">
      <c r="A105" s="20"/>
    </row>
    <row r="106">
      <c r="A106" s="20"/>
    </row>
    <row r="107">
      <c r="A107" s="20"/>
    </row>
    <row r="108">
      <c r="A108" s="20"/>
    </row>
    <row r="109">
      <c r="A109" s="20"/>
    </row>
    <row r="110">
      <c r="A110" s="20"/>
    </row>
    <row r="111">
      <c r="A111" s="20"/>
    </row>
    <row r="112">
      <c r="A112" s="20"/>
    </row>
    <row r="113">
      <c r="A113" s="20"/>
    </row>
    <row r="114">
      <c r="A114" s="20"/>
    </row>
    <row r="115">
      <c r="A115" s="20"/>
    </row>
    <row r="116">
      <c r="A116" s="20"/>
    </row>
    <row r="117">
      <c r="A117" s="20"/>
    </row>
    <row r="118">
      <c r="A118" s="20"/>
    </row>
    <row r="119">
      <c r="A119" s="20"/>
    </row>
    <row r="120">
      <c r="A120" s="20"/>
    </row>
    <row r="121">
      <c r="A121" s="20"/>
    </row>
    <row r="122">
      <c r="A122" s="20"/>
    </row>
    <row r="123">
      <c r="A123" s="20"/>
    </row>
    <row r="124">
      <c r="A124" s="20"/>
    </row>
    <row r="125">
      <c r="A125" s="20"/>
    </row>
    <row r="126">
      <c r="A126" s="20"/>
    </row>
    <row r="127">
      <c r="A127" s="20"/>
    </row>
    <row r="128">
      <c r="A128" s="20"/>
    </row>
    <row r="129">
      <c r="A129" s="20"/>
    </row>
    <row r="130">
      <c r="A130" s="20"/>
    </row>
    <row r="131">
      <c r="A131" s="20"/>
    </row>
    <row r="132">
      <c r="A132" s="20"/>
    </row>
    <row r="133">
      <c r="A133" s="20"/>
    </row>
    <row r="134">
      <c r="A134" s="20"/>
    </row>
    <row r="135">
      <c r="A135" s="20"/>
    </row>
    <row r="136">
      <c r="A136" s="20"/>
    </row>
    <row r="137">
      <c r="A137" s="20"/>
    </row>
    <row r="138">
      <c r="A138" s="20"/>
    </row>
    <row r="139">
      <c r="A139" s="20"/>
    </row>
    <row r="140">
      <c r="A140" s="20"/>
    </row>
    <row r="141">
      <c r="A141" s="20"/>
    </row>
    <row r="142">
      <c r="A142" s="20"/>
    </row>
    <row r="143">
      <c r="A143" s="20"/>
    </row>
    <row r="144">
      <c r="A144" s="20"/>
    </row>
    <row r="145">
      <c r="A145" s="20"/>
    </row>
    <row r="146">
      <c r="A146" s="20"/>
    </row>
    <row r="147">
      <c r="A147" s="20"/>
    </row>
    <row r="148">
      <c r="A148" s="20"/>
    </row>
    <row r="149">
      <c r="A149" s="20"/>
    </row>
    <row r="150">
      <c r="A150" s="20"/>
    </row>
    <row r="151">
      <c r="A151" s="20"/>
    </row>
    <row r="152">
      <c r="A152" s="20"/>
    </row>
    <row r="153">
      <c r="A153" s="20"/>
    </row>
    <row r="154">
      <c r="A154" s="20"/>
    </row>
    <row r="155">
      <c r="A155" s="20"/>
    </row>
    <row r="156">
      <c r="A156" s="20"/>
    </row>
    <row r="157">
      <c r="A157" s="20"/>
    </row>
    <row r="158">
      <c r="A158" s="20"/>
    </row>
    <row r="159">
      <c r="A159" s="20"/>
    </row>
    <row r="160">
      <c r="A160" s="20"/>
    </row>
    <row r="161">
      <c r="A161" s="20"/>
    </row>
    <row r="162">
      <c r="A162" s="20"/>
    </row>
    <row r="163">
      <c r="A163" s="20"/>
    </row>
    <row r="164">
      <c r="A164" s="20"/>
    </row>
    <row r="165">
      <c r="A165" s="20"/>
    </row>
    <row r="166">
      <c r="A166" s="20"/>
    </row>
    <row r="167">
      <c r="A167" s="20"/>
    </row>
    <row r="168">
      <c r="A168" s="20"/>
    </row>
    <row r="169">
      <c r="A169" s="20"/>
    </row>
    <row r="170">
      <c r="A170" s="20"/>
    </row>
    <row r="171">
      <c r="A171" s="20"/>
    </row>
    <row r="172">
      <c r="A172" s="20"/>
    </row>
    <row r="173">
      <c r="A173" s="20"/>
    </row>
    <row r="174">
      <c r="A174" s="20"/>
    </row>
    <row r="175">
      <c r="A175" s="20"/>
    </row>
    <row r="176">
      <c r="A176" s="20"/>
    </row>
    <row r="177">
      <c r="A177" s="20"/>
    </row>
    <row r="178">
      <c r="A178" s="20"/>
    </row>
    <row r="179">
      <c r="A179" s="20"/>
    </row>
    <row r="180">
      <c r="A180" s="20"/>
    </row>
    <row r="181">
      <c r="A181" s="20"/>
    </row>
    <row r="182">
      <c r="A182" s="20"/>
    </row>
    <row r="183">
      <c r="A183" s="20"/>
    </row>
    <row r="184">
      <c r="A184" s="20"/>
    </row>
    <row r="185">
      <c r="A185" s="20"/>
    </row>
    <row r="186">
      <c r="A186" s="20"/>
    </row>
    <row r="187">
      <c r="A187" s="20"/>
    </row>
    <row r="188">
      <c r="A188" s="20"/>
    </row>
    <row r="189">
      <c r="A189" s="20"/>
    </row>
    <row r="190">
      <c r="A190" s="20"/>
    </row>
    <row r="191">
      <c r="A191" s="20"/>
    </row>
    <row r="192">
      <c r="A192" s="20"/>
    </row>
    <row r="193">
      <c r="A193" s="20"/>
    </row>
    <row r="194">
      <c r="A194" s="20"/>
    </row>
    <row r="195">
      <c r="A195" s="20"/>
    </row>
    <row r="196">
      <c r="A196" s="20"/>
    </row>
    <row r="197">
      <c r="A197" s="20"/>
    </row>
    <row r="198">
      <c r="A198" s="20"/>
    </row>
    <row r="199">
      <c r="A199" s="20"/>
    </row>
    <row r="200">
      <c r="A200" s="20"/>
    </row>
    <row r="201">
      <c r="A201" s="20"/>
    </row>
    <row r="202">
      <c r="A202" s="20"/>
    </row>
    <row r="203">
      <c r="A203" s="20"/>
    </row>
    <row r="204">
      <c r="A204" s="20"/>
    </row>
    <row r="205">
      <c r="A205" s="20"/>
    </row>
    <row r="206">
      <c r="A206" s="20"/>
    </row>
    <row r="207">
      <c r="A207" s="20"/>
    </row>
    <row r="208">
      <c r="A208" s="20"/>
    </row>
    <row r="209">
      <c r="A209" s="20"/>
    </row>
    <row r="210">
      <c r="A210" s="20"/>
    </row>
    <row r="211">
      <c r="A211" s="20"/>
    </row>
    <row r="212">
      <c r="A212" s="20"/>
    </row>
    <row r="213">
      <c r="A213" s="20"/>
    </row>
    <row r="214">
      <c r="A214" s="20"/>
    </row>
    <row r="215">
      <c r="A215" s="20"/>
    </row>
    <row r="216">
      <c r="A216" s="20"/>
    </row>
    <row r="217">
      <c r="A217" s="20"/>
    </row>
    <row r="218">
      <c r="A218" s="20"/>
    </row>
    <row r="219">
      <c r="A219" s="20"/>
    </row>
    <row r="220">
      <c r="A220" s="20"/>
    </row>
    <row r="221">
      <c r="A221" s="20"/>
    </row>
    <row r="222">
      <c r="A222" s="20"/>
    </row>
    <row r="223">
      <c r="A223" s="20"/>
    </row>
    <row r="224">
      <c r="A224" s="20"/>
    </row>
    <row r="225">
      <c r="A225" s="20"/>
    </row>
    <row r="226">
      <c r="A226" s="20"/>
    </row>
    <row r="227">
      <c r="A227" s="20"/>
    </row>
    <row r="228">
      <c r="A228" s="20"/>
    </row>
    <row r="229">
      <c r="A229" s="20"/>
    </row>
    <row r="230">
      <c r="A230" s="20"/>
    </row>
    <row r="231">
      <c r="A231" s="20"/>
    </row>
    <row r="232">
      <c r="A232" s="20"/>
    </row>
    <row r="233">
      <c r="A233" s="20"/>
    </row>
    <row r="234">
      <c r="A234" s="20"/>
    </row>
    <row r="235">
      <c r="A235" s="20"/>
    </row>
    <row r="236">
      <c r="A236" s="20"/>
    </row>
    <row r="237">
      <c r="A237" s="20"/>
    </row>
    <row r="238">
      <c r="A238" s="20"/>
    </row>
    <row r="239">
      <c r="A239" s="20"/>
    </row>
    <row r="240">
      <c r="A240" s="20"/>
    </row>
    <row r="241">
      <c r="A241" s="20"/>
    </row>
    <row r="242">
      <c r="A242" s="20"/>
    </row>
    <row r="243">
      <c r="A243" s="20"/>
    </row>
    <row r="244">
      <c r="A244" s="20"/>
    </row>
    <row r="245">
      <c r="A245" s="20"/>
    </row>
    <row r="246">
      <c r="A246" s="20"/>
    </row>
    <row r="247">
      <c r="A247" s="20"/>
    </row>
    <row r="248">
      <c r="A248" s="20"/>
    </row>
    <row r="249">
      <c r="A249" s="20"/>
    </row>
    <row r="250">
      <c r="A250" s="20"/>
    </row>
    <row r="251">
      <c r="A251" s="20"/>
    </row>
    <row r="252">
      <c r="A252" s="20"/>
    </row>
    <row r="253">
      <c r="A253" s="20"/>
    </row>
    <row r="254">
      <c r="A254" s="20"/>
    </row>
    <row r="255">
      <c r="A255" s="20"/>
    </row>
    <row r="256">
      <c r="A256" s="20"/>
    </row>
    <row r="257">
      <c r="A257" s="20"/>
    </row>
    <row r="258">
      <c r="A258" s="20"/>
    </row>
    <row r="259">
      <c r="A259" s="20"/>
    </row>
    <row r="260">
      <c r="A260" s="20"/>
    </row>
    <row r="261">
      <c r="A261" s="20"/>
    </row>
    <row r="262">
      <c r="A262" s="20"/>
    </row>
    <row r="263">
      <c r="A263" s="20"/>
    </row>
    <row r="264">
      <c r="A264" s="20"/>
    </row>
    <row r="265">
      <c r="A265" s="20"/>
    </row>
    <row r="266">
      <c r="A266" s="20"/>
    </row>
    <row r="267">
      <c r="A267" s="20"/>
    </row>
    <row r="268">
      <c r="A268" s="20"/>
    </row>
    <row r="269">
      <c r="A269" s="20"/>
    </row>
    <row r="270">
      <c r="A270" s="20"/>
    </row>
    <row r="271">
      <c r="A271" s="20"/>
    </row>
    <row r="272">
      <c r="A272" s="20"/>
    </row>
    <row r="273">
      <c r="A273" s="20"/>
    </row>
    <row r="274">
      <c r="A274" s="20"/>
    </row>
    <row r="275">
      <c r="A275" s="20"/>
    </row>
    <row r="276">
      <c r="A276" s="20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  <row r="998">
      <c r="A998" s="20"/>
    </row>
    <row r="999">
      <c r="A999" s="20"/>
    </row>
    <row r="1000">
      <c r="A1000" s="20"/>
    </row>
  </sheetData>
  <mergeCells count="3">
    <mergeCell ref="A17:E20"/>
    <mergeCell ref="A22:E25"/>
    <mergeCell ref="A27:E31"/>
  </mergeCells>
  <drawing r:id="rId1"/>
</worksheet>
</file>